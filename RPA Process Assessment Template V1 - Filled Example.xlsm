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urvija\Desktop\Initiatives\Automation Assessment\RPA_Process_Assessment_Questionairre_v2\"/>
    </mc:Choice>
  </mc:AlternateContent>
  <xr:revisionPtr revIDLastSave="0" documentId="13_ncr:1_{9315C297-3400-4FB3-956F-E8770239288F}" xr6:coauthVersionLast="47" xr6:coauthVersionMax="47" xr10:uidLastSave="{00000000-0000-0000-0000-000000000000}"/>
  <bookViews>
    <workbookView xWindow="-108" yWindow="-108" windowWidth="23256" windowHeight="12456" activeTab="3" xr2:uid="{00000000-000D-0000-FFFF-FFFF00000000}"/>
  </bookViews>
  <sheets>
    <sheet name="Introduction" sheetId="2" r:id="rId1"/>
    <sheet name="Process Profile" sheetId="3" r:id="rId2"/>
    <sheet name="Questionaire" sheetId="4" r:id="rId3"/>
    <sheet name="Our Recommendation" sheetId="5" r:id="rId4"/>
    <sheet name="Configurations" sheetId="7" state="hidden" r:id="rId5"/>
    <sheet name="Parameters" sheetId="6" state="hidden" r:id="rId6"/>
  </sheets>
  <externalReferences>
    <externalReference r:id="rId7"/>
  </externalReferences>
  <definedNames>
    <definedName name="_xlnm._FilterDatabase" localSheetId="3" hidden="1">'Our Recommendation'!$B$2</definedName>
    <definedName name="_xlnm._FilterDatabase" localSheetId="2" hidden="1">Questionaire!$M$4:$R$4</definedName>
    <definedName name="Citrix_Remote">Configurations!$Q$3:$Q$6</definedName>
    <definedName name="Common">Configurations!$J$3:$J$6</definedName>
    <definedName name="Complexity_5">Configurations!$E$3:$E$5</definedName>
    <definedName name="Complexity_6">Configurations!$F$3:$F$6</definedName>
    <definedName name="Complexity_7">Configurations!$G$3:$G$4</definedName>
    <definedName name="Complexity_8">Configurations!$H$3:$H$5</definedName>
    <definedName name="Complexity_9">Configurations!$I$3:$I$5</definedName>
    <definedName name="Effort_Planning_12">Configurations!$K$3:$K$6</definedName>
    <definedName name="Effort_Planning_13">Configurations!$L$3:$L$6</definedName>
    <definedName name="Effort_Planning_14">Configurations!$M$3:$M$5</definedName>
    <definedName name="Frequency">Configurations!$R$3:$R$10</definedName>
    <definedName name="Input_Types">Configurations!$P$3:$P$13</definedName>
    <definedName name="Process_Repetition_1">Configurations!$A$3:$A$6</definedName>
    <definedName name="Slicer_Area">#N/A</definedName>
    <definedName name="Standardization_2">Configurations!$B$3:$B$5</definedName>
    <definedName name="Standardization_3">Configurations!$C$3:$C$6</definedName>
    <definedName name="Standardization_4">Configurations!$D$3:$D$4</definedName>
    <definedName name="Trend">Configurations!$S$3:$S$5</definedName>
    <definedName name="Volume">Configurations!$T$3:$T$24</definedName>
    <definedName name="Yes_No">Configurations!$N$3:$N$4</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7" l="1"/>
  <c r="C39" i="7"/>
  <c r="B15" i="7"/>
  <c r="B14" i="7"/>
  <c r="C13" i="7"/>
  <c r="D12" i="7"/>
  <c r="C12" i="7"/>
  <c r="B12" i="7"/>
  <c r="B13" i="7" s="1"/>
  <c r="B11" i="7"/>
  <c r="C9" i="7"/>
  <c r="D8" i="7"/>
  <c r="E8" i="7" s="1"/>
  <c r="A8" i="7"/>
  <c r="B9" i="7" s="1"/>
  <c r="B33" i="6"/>
  <c r="E24" i="5"/>
  <c r="D24" i="5"/>
  <c r="I18" i="5"/>
  <c r="J27" i="4"/>
  <c r="H27" i="4"/>
  <c r="J26" i="4"/>
  <c r="H26" i="4"/>
  <c r="J25" i="4"/>
  <c r="H25" i="4"/>
  <c r="J24" i="4"/>
  <c r="H24" i="4"/>
  <c r="J23" i="4"/>
  <c r="J2" i="4" s="1"/>
  <c r="H23" i="4"/>
  <c r="J22" i="4"/>
  <c r="H22" i="4"/>
  <c r="J21" i="4"/>
  <c r="H21" i="4"/>
  <c r="J20" i="4"/>
  <c r="H20" i="4"/>
  <c r="J19" i="4"/>
  <c r="H19" i="4"/>
  <c r="J18" i="4"/>
  <c r="H18" i="4"/>
  <c r="J16" i="4"/>
  <c r="H16" i="4"/>
  <c r="H15" i="4"/>
  <c r="M2" i="4" s="1"/>
  <c r="J13" i="4"/>
  <c r="H13" i="4"/>
  <c r="J12" i="4"/>
  <c r="H12" i="4"/>
  <c r="J11" i="4"/>
  <c r="H11" i="4"/>
  <c r="J10" i="4"/>
  <c r="H10" i="4"/>
  <c r="J9" i="4"/>
  <c r="H9" i="4"/>
  <c r="J8" i="4"/>
  <c r="H8" i="4"/>
  <c r="H7" i="4"/>
  <c r="B10" i="7" l="1"/>
  <c r="R28" i="4"/>
  <c r="K2" i="4"/>
  <c r="H28" i="4"/>
  <c r="I18" i="4"/>
  <c r="B27" i="7"/>
  <c r="C27" i="7"/>
  <c r="B28" i="7"/>
  <c r="B8" i="7"/>
  <c r="C28" i="7"/>
</calcChain>
</file>

<file path=xl/sharedStrings.xml><?xml version="1.0" encoding="utf-8"?>
<sst xmlns="http://schemas.openxmlformats.org/spreadsheetml/2006/main" count="388" uniqueCount="274">
  <si>
    <t xml:space="preserve"> </t>
  </si>
  <si>
    <t xml:space="preserve">PROCESS ASSESSMENT DOCUMENT </t>
  </si>
  <si>
    <t>This Document is used to perform High level Automation Assessment. This document will help Governance and Operational Excellence teams to get an overview and identify whether the process is a right candidate for Automation.</t>
  </si>
  <si>
    <t>FILLING INSTRUCTIONS</t>
  </si>
  <si>
    <t>1) Please fill the "Process Profile" and "Questionaire" worksheets before performing the assessment.</t>
  </si>
  <si>
    <t>2) Once all Questions are answered, Click on "CLICK TO ASSESS" button on "Our Recommendation" worksheet to per form the assessment and view the results</t>
  </si>
  <si>
    <r>
      <t xml:space="preserve">3) Questionairre Answers Columns values are checked for performing the assessment. As the worksheets have formulas for calculating values </t>
    </r>
    <r>
      <rPr>
        <b/>
        <sz val="11"/>
        <color theme="1"/>
        <rFont val="Calibri"/>
        <family val="2"/>
        <scheme val="minor"/>
      </rPr>
      <t xml:space="preserve">KINDLY DO NOT INSERT COLUMNS/ROWS IN THE MIDDLE OF THE TABLE. </t>
    </r>
  </si>
  <si>
    <t>4) Please go through the INSTRUCTIONS before performing the assessment</t>
  </si>
  <si>
    <r>
      <t xml:space="preserve">5) </t>
    </r>
    <r>
      <rPr>
        <b/>
        <sz val="11"/>
        <color theme="1"/>
        <rFont val="Calibri"/>
        <family val="2"/>
        <scheme val="minor"/>
      </rPr>
      <t>KINDLY DO NOT AMEND THIS DOCUMENT</t>
    </r>
  </si>
  <si>
    <t>For any Support, Please contact beflow mentioned contacts</t>
  </si>
  <si>
    <t>Ankush Dilip Jain</t>
  </si>
  <si>
    <t>Urvija</t>
  </si>
  <si>
    <t>Srl. No.</t>
  </si>
  <si>
    <t>Questions (Process Details)</t>
  </si>
  <si>
    <t>Answer</t>
  </si>
  <si>
    <t>E2E Process</t>
  </si>
  <si>
    <t>Business Function</t>
  </si>
  <si>
    <t>Sub Process</t>
  </si>
  <si>
    <t>Process Description</t>
  </si>
  <si>
    <t>Process Owner Name</t>
  </si>
  <si>
    <t>Process SME Name</t>
  </si>
  <si>
    <t>Automation Sponsor</t>
  </si>
  <si>
    <t>Reason for automation</t>
  </si>
  <si>
    <t>Scope of Automation</t>
  </si>
  <si>
    <t>Type of Process for automation</t>
  </si>
  <si>
    <t>How expensive (per head) are the staff who perform this process? (Loaded FTE Cost)</t>
  </si>
  <si>
    <t>How many FTEs currently perform this process?</t>
  </si>
  <si>
    <t>Do you already have strong KPIs and analytical insight into the performance of the process?</t>
  </si>
  <si>
    <t>No</t>
  </si>
  <si>
    <t>Have key performance indicators (KPIs) been defined to measure success?</t>
  </si>
  <si>
    <t>Yes</t>
  </si>
  <si>
    <t>Is the process/system planned for change?</t>
  </si>
  <si>
    <t>Benefit/Cost Saving</t>
  </si>
  <si>
    <t>Ease/Complexity</t>
  </si>
  <si>
    <t>Area</t>
  </si>
  <si>
    <t>Question</t>
  </si>
  <si>
    <t>Notes</t>
  </si>
  <si>
    <t>Highly Reccomended for RPA</t>
  </si>
  <si>
    <t>Reccomended for RPA</t>
  </si>
  <si>
    <t>Reccomended for Assisted RPA</t>
  </si>
  <si>
    <t>RPA + OCR</t>
  </si>
  <si>
    <t>RPA + Other DPA tehnolgoies to be assessed</t>
  </si>
  <si>
    <t>Think before implemeting RPA</t>
  </si>
  <si>
    <t>Standardization</t>
  </si>
  <si>
    <t>Are these Process Maps/Flows Available?</t>
  </si>
  <si>
    <t>Consider for remarks</t>
  </si>
  <si>
    <t>Is the Process documented at key stroke level?</t>
  </si>
  <si>
    <t>Is the Process standardized and fully optimized?
Standarized - Process is standarized across channels, locations etc.
Not Standaized - Process varies as per channels, locations etc.</t>
  </si>
  <si>
    <t>Process is Standarized with no variations</t>
  </si>
  <si>
    <t>3,2</t>
  </si>
  <si>
    <t>3,2,1</t>
  </si>
  <si>
    <t>Is the Process highly repetitive and prone to human error?
Highly Error Prone - The same process carried out multiple times due to a very high degree of variability
Not Error Prone - The same process is repeated each and every time with no variation</t>
  </si>
  <si>
    <t>Highly Repetitive and High Error Rate</t>
  </si>
  <si>
    <t>4,3</t>
  </si>
  <si>
    <t>4,3,2,1</t>
  </si>
  <si>
    <t>Complexity</t>
  </si>
  <si>
    <t>What is the impact of errors when they occur?</t>
  </si>
  <si>
    <t>Medium Rate of Error and High/Moderate Impact</t>
  </si>
  <si>
    <t>Can the Process be defined as set of unambiguous business rules?
Un-structured Business Rules - Very difficult to identify the activity, decision &amp; outcome as a series of formalised steps. 
Structured Business Rules - Each activity, decision &amp; outcome can be easily mapped from an input to an output</t>
  </si>
  <si>
    <t>Structured Business rules for decision making</t>
  </si>
  <si>
    <t>Are the process inputs and outputs all standardized?
Standardized - Common Input Channel, Example: All Inputs on email/Portal/Sharepoint etc.
Not Standarized - Different Input channel, Example: Some inputs on Email and some on Portal etc.</t>
  </si>
  <si>
    <t>Input is Standardized and Output is Standardized</t>
  </si>
  <si>
    <t>4,3,2</t>
  </si>
  <si>
    <t>Reassess later</t>
  </si>
  <si>
    <t>Are the Process inputs and outputs structured (Same format)?
Yes - Input received is in same format, layout, language etc for all transactions (Structured)
No - Input received is in different format, layout, language etc for all transactions(Un-Structured)</t>
  </si>
  <si>
    <t>consider unstructured for remarks</t>
  </si>
  <si>
    <t>2,1</t>
  </si>
  <si>
    <t>how many different formats</t>
  </si>
  <si>
    <t>defines complexity</t>
  </si>
  <si>
    <t>Does this process require reading of Scanned Images or Handwritten Documents?</t>
  </si>
  <si>
    <t>Q</t>
  </si>
  <si>
    <t>What are the different Input Data types ?
Eg. Pdf,image,txt,etc. 
Incase of More than one input, mention all applicable input types in Notes column</t>
  </si>
  <si>
    <t>System Applications</t>
  </si>
  <si>
    <t>What is the nature of work?</t>
  </si>
  <si>
    <t>Depending upon Input another workflow gets triggerd</t>
  </si>
  <si>
    <t xml:space="preserve">No. of steps involved across all paths of process
Very Low - 5 or less in all process paths
Very High - 50 or more in all process paths. </t>
  </si>
  <si>
    <t>Very High</t>
  </si>
  <si>
    <t>Effort &amp; Planning</t>
  </si>
  <si>
    <t>What is the average time taken to process/complete per case/transaction?</t>
  </si>
  <si>
    <t xml:space="preserve">Does Process involve significant comparisons of, and/or copying of data between multiple systems?
1 or 2 systems (or applications) used in executing the process. 
Data or information is transferred through 10 or more systems (or applications). </t>
  </si>
  <si>
    <t>No, only one application/system in involved</t>
  </si>
  <si>
    <t>Are the applications used in the process accessed via Citrix/Remote Desktop Connection?</t>
  </si>
  <si>
    <t>Both</t>
  </si>
  <si>
    <t>Too complex (Not Suitable?)</t>
  </si>
  <si>
    <t>Re assess</t>
  </si>
  <si>
    <t>How many different screens are involved in the process?
Distinct screens e.g. Log-in, Accounts, Account, Log-out = 4 screens</t>
  </si>
  <si>
    <t>More than 20 different screens are involved</t>
  </si>
  <si>
    <t>How frequently is the process performed?</t>
  </si>
  <si>
    <t>Daily</t>
  </si>
  <si>
    <t>4 to 8</t>
  </si>
  <si>
    <t>1,2,3</t>
  </si>
  <si>
    <t xml:space="preserve">Do you see a spike in the no. of transactions in the process?
Throughput is increasing and/or there are periods of exceptionally high demand. </t>
  </si>
  <si>
    <t>No, this is a constant demand</t>
  </si>
  <si>
    <t>consider for benefit</t>
  </si>
  <si>
    <t>% of volume that increases during peak period?</t>
  </si>
  <si>
    <t>16-20%</t>
  </si>
  <si>
    <t xml:space="preserve">Do you see a trend in the no. of transactions in the process?
Considerably Stable/Increasing or Decresing Trend </t>
  </si>
  <si>
    <t>Increasing Trend</t>
  </si>
  <si>
    <t>How many participants or FTEs are currently devoted to perform this process (people who fulfill the process)?
This is relative to the number of employees in the department 
Very low - 10% of employees in the team or less are devoted to this process
Very high - 40% of employees in the team or more are devoted to this process</t>
  </si>
  <si>
    <t>Very Low</t>
  </si>
  <si>
    <t>How many times is the process carried out in a year i.e how many transactions are processed?
This is relative to the number of FTEs to handle the tasks</t>
  </si>
  <si>
    <t>Is the Technology/application environment relatively stable for the process in question?</t>
  </si>
  <si>
    <t>Yearly one or two major updates for application</t>
  </si>
  <si>
    <t>Consider &gt;1 for remarks</t>
  </si>
  <si>
    <t>Total</t>
  </si>
  <si>
    <t xml:space="preserve">Total </t>
  </si>
  <si>
    <t>If total&gt;1 - Clearly Asses ROI before Automation for Benefit Realization</t>
  </si>
  <si>
    <t>Our Recommendation</t>
  </si>
  <si>
    <t>Recommended Technologies</t>
  </si>
  <si>
    <t>Remark (if any)</t>
  </si>
  <si>
    <t>Solution Complexity for Development</t>
  </si>
  <si>
    <t>Approx. Cost Saving per Year</t>
  </si>
  <si>
    <t>Approx. duration to realize the automation benefits</t>
  </si>
  <si>
    <t>Approval Required from</t>
  </si>
  <si>
    <t>Approval Received on</t>
  </si>
  <si>
    <t>Benefits</t>
  </si>
  <si>
    <t>Ease</t>
  </si>
  <si>
    <t>COST:</t>
  </si>
  <si>
    <t>Way to calculate cost and benefit</t>
  </si>
  <si>
    <t>Row 5 Process Repetetion 1 Process is highly repetitive and prone to human error</t>
  </si>
  <si>
    <t>corect?</t>
  </si>
  <si>
    <t>High Error Prone - The same process carried out multiple times due to a very high degree of variability</t>
  </si>
  <si>
    <t>add new Q /make Qs clear (After internal demo)?</t>
  </si>
  <si>
    <t>No Error Prone - The same process is repeated each and every time with no variation</t>
  </si>
  <si>
    <t>Chart correct?</t>
  </si>
  <si>
    <t>Row 9 Complexity 5 - The process has a high rate of error or high impact when errors do occur</t>
  </si>
  <si>
    <t>Row 15 Complexity - How many times is the process carried out in a year i.e how many transactions are processed?</t>
  </si>
  <si>
    <t>Very High - relative to the number of FTEs to handle the tasks</t>
  </si>
  <si>
    <t>Very Low - relative to the number of FTEs to handle the tasks</t>
  </si>
  <si>
    <t>Row 19 - Effort and Planning - # participants or FTEs currently devoted to perform this process (people who fulfill the process)</t>
  </si>
  <si>
    <t xml:space="preserve">Very low - relative to the number of employees in the department </t>
  </si>
  <si>
    <t>Very high - relative to the number of employees in the department</t>
  </si>
  <si>
    <t>COMPLEXITY:</t>
  </si>
  <si>
    <t>Row 11 Complexity</t>
  </si>
  <si>
    <t>Row 12 Complexity</t>
  </si>
  <si>
    <t>Row 13 Complexity</t>
  </si>
  <si>
    <t>Row 14 Complexity</t>
  </si>
  <si>
    <t>RECOMMENDATION:</t>
  </si>
  <si>
    <t>Process is highly repetitive and prone to human error
High Error Prone - The same process carried out multiple times due to a very high degree of variability
No Error Prone - The same process is repeated each and every time with no variation</t>
  </si>
  <si>
    <t>Process can be defined as set of unambiguous business rules
(Un-structured Business Rules - Very difficult to identify the activity, decision &amp; outcome as a series of formalised steps. 
Structured Business Rules - Each activity, decision &amp; outcome can be easily mapped from an input to an output.)</t>
  </si>
  <si>
    <t>Are the process inputs and outputs all standardized?</t>
  </si>
  <si>
    <t xml:space="preserve">Process involves significant comparisons of, and/or copying of data between multiple systems
1 or 2 systems (or applications) used in executing the process. 
Data or information is transferred through 10 or more systems (or applications). </t>
  </si>
  <si>
    <t>Process is mostly standardized, properly documented and fully optimized?
Process varies according to the channel</t>
  </si>
  <si>
    <t>Are the process inputs and outputs all digital?
(I/O data is unstructured, non-digital, e.g. scanned handwritten document
I/O data is structured, digital e.g. Excel form data organised in a rigid structure)</t>
  </si>
  <si>
    <t>What is the nature of work?
(I/O data is non-digital, e.g. scanned document, handwritten document
I/O repetetive UI actions e.g. Repetetive UI steps on a screen)</t>
  </si>
  <si>
    <t xml:space="preserve">No. of tasks involved across all paths of process
Very Low - 5 or less in all process paths
Very High - 50 or more in all process paths. </t>
  </si>
  <si>
    <t>How many times is the process carried out in a year i.e how many transactions are processed?
Very High - relative to the number of FTEs to handle the tasks
Very Low - relative to the number of FTEs to handle the tasks</t>
  </si>
  <si>
    <t>The process has a high rate of error or high impact when errors do occur</t>
  </si>
  <si>
    <t>Frequency (How frequently is the process performed?)</t>
  </si>
  <si>
    <t># participants or FTEs currently devoted to perform this process (people who fulfill the process)
Very low - relative to the number of employees in the department 
Very high - relative to the number of employees in the department</t>
  </si>
  <si>
    <t>Technology/application environment relatively stable for the process in question</t>
  </si>
  <si>
    <t>Drop Downs</t>
  </si>
  <si>
    <t>Complexity 10,11 &amp; Effort and Planning 15</t>
  </si>
  <si>
    <t>Process_Repetition_1</t>
  </si>
  <si>
    <t>Standardization_2</t>
  </si>
  <si>
    <t>Standardization_3</t>
  </si>
  <si>
    <t>Standardization_4</t>
  </si>
  <si>
    <t>Complexity_5</t>
  </si>
  <si>
    <t>Complexity_6</t>
  </si>
  <si>
    <t>Complexity_7</t>
  </si>
  <si>
    <t>Complexity_8</t>
  </si>
  <si>
    <t>Complexity_9</t>
  </si>
  <si>
    <t>Common</t>
  </si>
  <si>
    <t>Effort_Planning_12</t>
  </si>
  <si>
    <t>Effort_Planning_13</t>
  </si>
  <si>
    <t>Effort_Planning_14</t>
  </si>
  <si>
    <t>Q_1</t>
  </si>
  <si>
    <t>Q_2</t>
  </si>
  <si>
    <t>Q_3</t>
  </si>
  <si>
    <t>Q_4</t>
  </si>
  <si>
    <t>Frequency</t>
  </si>
  <si>
    <t>Trend</t>
  </si>
  <si>
    <t>Volume</t>
  </si>
  <si>
    <t>Input is Digital and Output is Digital</t>
  </si>
  <si>
    <t>High Rate of Error and High/Moderate Impact</t>
  </si>
  <si>
    <t>Repetetive UI steps on screen</t>
  </si>
  <si>
    <t>Yes, more than 5 applications/systems are involved</t>
  </si>
  <si>
    <t>No frequent updates for the application</t>
  </si>
  <si>
    <t>Yes, every quarter</t>
  </si>
  <si>
    <t>Structured</t>
  </si>
  <si>
    <t>Non Searchable pdf &amp; Image</t>
  </si>
  <si>
    <t>More than 100%</t>
  </si>
  <si>
    <t>Highly Repetitive and Moderate Error Rate</t>
  </si>
  <si>
    <t>Process is not Standarized and less variations</t>
  </si>
  <si>
    <t>Input is Standardized but Output is not Standardized</t>
  </si>
  <si>
    <t>Un-Structured Business rule or manual judgement for decision making</t>
  </si>
  <si>
    <t>Input is not Digital but Output is Digital</t>
  </si>
  <si>
    <t>Yes, less than 5 applications/systems are involved</t>
  </si>
  <si>
    <t>Less than 20 and more than 10 different screens are involved</t>
  </si>
  <si>
    <t>High</t>
  </si>
  <si>
    <t>Yearly one or two minor updates for application</t>
  </si>
  <si>
    <t>Weekly</t>
  </si>
  <si>
    <t>Yes, every month</t>
  </si>
  <si>
    <t>Un-Structured</t>
  </si>
  <si>
    <t>Searchable pdf</t>
  </si>
  <si>
    <t>Yes, accessed through Citrix</t>
  </si>
  <si>
    <t>Considerably Stable Trend</t>
  </si>
  <si>
    <t>96-100%</t>
  </si>
  <si>
    <t>Highly Repetitive and Low Error Rate</t>
  </si>
  <si>
    <t>Process is not Standarized and high variations</t>
  </si>
  <si>
    <t>Input is not Standardized but Output is Standardized</t>
  </si>
  <si>
    <t>Input is Digital but Output is not Digital</t>
  </si>
  <si>
    <t>Low Rate of Error and High/Moderate Impact</t>
  </si>
  <si>
    <t>Less than 10 different screens are involved</t>
  </si>
  <si>
    <t>Low</t>
  </si>
  <si>
    <t>Monthly</t>
  </si>
  <si>
    <t>Ms Office Files</t>
  </si>
  <si>
    <t>Yes, accessed through Remote Desktop Connection</t>
  </si>
  <si>
    <t>Fortnightly</t>
  </si>
  <si>
    <t>Decreasing Trend</t>
  </si>
  <si>
    <t>91-95%</t>
  </si>
  <si>
    <t>Highly Repetitive and No Errors</t>
  </si>
  <si>
    <t>Input and Output both are not Standardized</t>
  </si>
  <si>
    <t>Low Rate of Error and Low Impact</t>
  </si>
  <si>
    <t>Frequent updates for the applications</t>
  </si>
  <si>
    <t>Quarterly or Yearly</t>
  </si>
  <si>
    <t>Emails</t>
  </si>
  <si>
    <t>86-90%</t>
  </si>
  <si>
    <t>Are the process inputs and outputs all digital?
(I/O data non-digital, e.g. scanned handwritten document
I/O data is digital e.g. Excel form data organised in a rigid structure)</t>
  </si>
  <si>
    <t>Txt files</t>
  </si>
  <si>
    <t>Quarterly</t>
  </si>
  <si>
    <t>81-85%</t>
  </si>
  <si>
    <t>Benefit</t>
  </si>
  <si>
    <t>Half-yearly</t>
  </si>
  <si>
    <t>76-80%</t>
  </si>
  <si>
    <t>cost saving</t>
  </si>
  <si>
    <t>Others</t>
  </si>
  <si>
    <t>Annual</t>
  </si>
  <si>
    <t>71-75%</t>
  </si>
  <si>
    <t>Web Apps</t>
  </si>
  <si>
    <t>AdHoc</t>
  </si>
  <si>
    <t>66-70%</t>
  </si>
  <si>
    <t>Voice-Inbound</t>
  </si>
  <si>
    <t>61-65%</t>
  </si>
  <si>
    <t>Recommended for Assisted Robotic Process Automation (Also called Desktop Automation) with other Digital Process Automation Technologies</t>
  </si>
  <si>
    <t>Voice-Outbound</t>
  </si>
  <si>
    <t>56-60%</t>
  </si>
  <si>
    <t>Required Technologies</t>
  </si>
  <si>
    <t>Recommended for OCR With Assisted Robotic Process Automation (Also called Desktop Automation)</t>
  </si>
  <si>
    <t>More than one input</t>
  </si>
  <si>
    <t>51-55%</t>
  </si>
  <si>
    <t>Recommended for Assisted Robotic Process Automation (Also called Desktop Automation) or Robotic Process Automation with Artificial Intelligence</t>
  </si>
  <si>
    <t>Very High, High, Low</t>
  </si>
  <si>
    <t>46-50%</t>
  </si>
  <si>
    <t>Recommended for Robotic Process Automation (Unassisted Automation) with other Digital Process Automation Technologies</t>
  </si>
  <si>
    <t>Low,Very Low</t>
  </si>
  <si>
    <t>Very High, High</t>
  </si>
  <si>
    <t>41-45%</t>
  </si>
  <si>
    <t>Recommended for RPA</t>
  </si>
  <si>
    <t>Recommended for OCR With Robotic Process Automation (Unassisted Automation)</t>
  </si>
  <si>
    <t>36-40%</t>
  </si>
  <si>
    <t>31-35%</t>
  </si>
  <si>
    <t>Recommended for Robotic Process Automation (Unassisted Automation)</t>
  </si>
  <si>
    <t>26-30%</t>
  </si>
  <si>
    <t>Recommended for OCR with Assisted Robotic Process Automation (Also called Desktop Automation) and other Digital Process Automation Technologies</t>
  </si>
  <si>
    <t>21-25%</t>
  </si>
  <si>
    <t>Recommended for OCR with Robotic Process Automation (Unassisted Automation) and other Digital Process Automation Technologies</t>
  </si>
  <si>
    <t>11-15%</t>
  </si>
  <si>
    <t>6-10%</t>
  </si>
  <si>
    <t>Repetetive</t>
  </si>
  <si>
    <t>Standard</t>
  </si>
  <si>
    <t>Digital</t>
  </si>
  <si>
    <t>Error</t>
  </si>
  <si>
    <t>Cost</t>
  </si>
  <si>
    <t>Complex</t>
  </si>
  <si>
    <t>1-5%</t>
  </si>
  <si>
    <t>0%</t>
  </si>
  <si>
    <t>Process</t>
  </si>
  <si>
    <t>O2C Claims and Deduction Automation</t>
  </si>
  <si>
    <t>Formula bkp</t>
  </si>
  <si>
    <t>x</t>
  </si>
  <si>
    <t>y</t>
  </si>
  <si>
    <t>x - Benefits</t>
  </si>
  <si>
    <t>y - 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</si>
</sst>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lt;=9999999]###\-####;\(###\)\ ###\-####"/>
  </numFmts>
  <fonts count="47"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tint="0.14999847407452621"/>
      <name val="Calibri"/>
      <family val="2"/>
      <scheme val="minor"/>
    </font>
    <font>
      <sz val="24"/>
      <color theme="1" tint="0.14999847407452621"/>
      <name val="Calibri"/>
      <family val="2"/>
      <scheme val="minor"/>
    </font>
    <font>
      <sz val="10"/>
      <color theme="1" tint="4.9989318521683403E-2"/>
      <name val="Calibri Light"/>
      <family val="2"/>
      <scheme val="major"/>
    </font>
    <font>
      <sz val="11"/>
      <color theme="6" tint="-0.249977111117893"/>
      <name val="Calibri"/>
      <family val="2"/>
      <scheme val="minor"/>
    </font>
    <font>
      <sz val="11"/>
      <color theme="1" tint="0.14999847407452621"/>
      <name val="Calibri"/>
      <family val="2"/>
      <scheme val="minor"/>
    </font>
    <font>
      <sz val="11"/>
      <name val="Calibri"/>
      <family val="2"/>
      <scheme val="minor"/>
    </font>
    <font>
      <sz val="10"/>
      <color theme="5" tint="-0.249977111117893"/>
      <name val="Calibri"/>
      <family val="2"/>
      <scheme val="minor"/>
    </font>
    <font>
      <sz val="10"/>
      <color theme="0"/>
      <name val="Calibri"/>
      <family val="2"/>
      <scheme val="minor"/>
    </font>
    <font>
      <sz val="10"/>
      <color theme="4" tint="0.59999389629810485"/>
      <name val="Calibri"/>
      <family val="2"/>
      <scheme val="minor"/>
    </font>
    <font>
      <b/>
      <sz val="16"/>
      <color rgb="FFFF0000"/>
      <name val="Calibri"/>
      <family val="2"/>
      <scheme val="minor"/>
    </font>
    <font>
      <sz val="11"/>
      <color theme="9" tint="-0.249977111117893"/>
      <name val="Calibri"/>
      <family val="2"/>
      <scheme val="minor"/>
    </font>
    <font>
      <sz val="24"/>
      <color theme="5" tint="-0.249977111117893"/>
      <name val="Calibri"/>
      <family val="2"/>
      <scheme val="minor"/>
    </font>
    <font>
      <sz val="24"/>
      <color rgb="FFFF0000"/>
      <name val="Calibri"/>
      <family val="2"/>
      <scheme val="minor"/>
    </font>
    <font>
      <sz val="24"/>
      <color theme="9" tint="-0.249977111117893"/>
      <name val="Calibri"/>
      <family val="2"/>
      <scheme val="minor"/>
    </font>
    <font>
      <sz val="24"/>
      <color theme="4" tint="0.59999389629810485"/>
      <name val="Calibri"/>
      <family val="2"/>
      <scheme val="minor"/>
    </font>
    <font>
      <sz val="10"/>
      <name val="Calibri"/>
      <family val="2"/>
      <scheme val="minor"/>
    </font>
    <font>
      <sz val="11"/>
      <color theme="1" tint="4.9989318521683403E-2"/>
      <name val="Calibri Light"/>
      <family val="2"/>
      <scheme val="major"/>
    </font>
    <font>
      <sz val="10"/>
      <color theme="5" tint="-0.249977111117893"/>
      <name val="Calibri Light"/>
      <family val="2"/>
      <scheme val="major"/>
    </font>
    <font>
      <sz val="10"/>
      <color theme="0"/>
      <name val="Calibri Light"/>
      <family val="2"/>
      <scheme val="major"/>
    </font>
    <font>
      <sz val="10"/>
      <name val="Calibri Light"/>
      <family val="2"/>
      <scheme val="major"/>
    </font>
    <font>
      <sz val="11"/>
      <color theme="5"/>
      <name val="Calibri"/>
      <family val="2"/>
      <scheme val="minor"/>
    </font>
    <font>
      <sz val="10"/>
      <color theme="1"/>
      <name val="Calibri"/>
      <family val="2"/>
      <scheme val="minor"/>
    </font>
    <font>
      <sz val="11"/>
      <color rgb="FF64C8C6"/>
      <name val="Calibri"/>
      <family val="2"/>
      <scheme val="minor"/>
    </font>
    <font>
      <b/>
      <sz val="10"/>
      <color theme="9" tint="-0.249977111117893"/>
      <name val="Calibri"/>
      <family val="2"/>
      <scheme val="minor"/>
    </font>
    <font>
      <sz val="10"/>
      <color theme="9" tint="-0.249977111117893"/>
      <name val="Calibri"/>
      <family val="2"/>
      <scheme val="minor"/>
    </font>
    <font>
      <b/>
      <sz val="11"/>
      <color theme="5" tint="-0.249977111117893"/>
      <name val="Calibri"/>
      <family val="2"/>
      <scheme val="minor"/>
    </font>
    <font>
      <b/>
      <sz val="10"/>
      <color theme="9"/>
      <name val="Calibri"/>
      <family val="2"/>
      <scheme val="minor"/>
    </font>
    <font>
      <b/>
      <sz val="10"/>
      <color theme="5" tint="-0.249977111117893"/>
      <name val="Calibri"/>
      <family val="2"/>
      <scheme val="minor"/>
    </font>
    <font>
      <b/>
      <sz val="10"/>
      <color theme="0"/>
      <name val="Calibri"/>
      <family val="2"/>
      <scheme val="minor"/>
    </font>
    <font>
      <b/>
      <sz val="10"/>
      <name val="Calibri"/>
      <family val="2"/>
      <scheme val="minor"/>
    </font>
    <font>
      <b/>
      <sz val="10"/>
      <color theme="1" tint="0.14999847407452621"/>
      <name val="Calibri"/>
      <family val="2"/>
      <scheme val="minor"/>
    </font>
    <font>
      <b/>
      <sz val="11"/>
      <color theme="1" tint="4.9989318521683403E-2"/>
      <name val="Calibri"/>
      <family val="2"/>
      <scheme val="minor"/>
    </font>
    <font>
      <sz val="11"/>
      <color theme="1" tint="4.9989318521683403E-2"/>
      <name val="Calibri"/>
      <family val="2"/>
      <scheme val="minor"/>
    </font>
    <font>
      <b/>
      <sz val="11"/>
      <name val="Calibri"/>
      <family val="2"/>
      <scheme val="minor"/>
    </font>
    <font>
      <sz val="11"/>
      <color theme="5" tint="-0.249977111117893"/>
      <name val="Calibri"/>
      <family val="2"/>
      <scheme val="minor"/>
    </font>
    <font>
      <b/>
      <sz val="12"/>
      <color theme="9"/>
      <name val="Calibri"/>
      <family val="2"/>
      <scheme val="minor"/>
    </font>
    <font>
      <sz val="24"/>
      <color theme="9"/>
      <name val="Calibri"/>
      <family val="2"/>
      <scheme val="minor"/>
    </font>
    <font>
      <sz val="12"/>
      <color theme="1" tint="4.9989318521683403E-2"/>
      <name val="Calibri"/>
      <family val="2"/>
      <scheme val="minor"/>
    </font>
    <font>
      <b/>
      <sz val="12"/>
      <color theme="5"/>
      <name val="Calibri"/>
      <family val="2"/>
      <scheme val="minor"/>
    </font>
    <font>
      <b/>
      <sz val="12"/>
      <color theme="9" tint="-0.249977111117893"/>
      <name val="Calibri"/>
      <family val="2"/>
      <scheme val="minor"/>
    </font>
    <font>
      <b/>
      <sz val="12"/>
      <color theme="1" tint="0.14999847407452621"/>
      <name val="Calibri"/>
      <family val="2"/>
      <scheme val="minor"/>
    </font>
    <font>
      <b/>
      <sz val="12"/>
      <name val="Calibri"/>
      <family val="2"/>
      <scheme val="minor"/>
    </font>
    <font>
      <b/>
      <sz val="12"/>
      <color theme="1" tint="4.9989318521683403E-2"/>
      <name val="Calibri"/>
      <family val="2"/>
      <scheme val="minor"/>
    </font>
  </fonts>
  <fills count="25">
    <fill>
      <patternFill patternType="none"/>
    </fill>
    <fill>
      <patternFill patternType="gray125"/>
    </fill>
    <fill>
      <patternFill patternType="solid">
        <fgColor theme="4"/>
        <bgColor indexed="64"/>
      </patternFill>
    </fill>
    <fill>
      <patternFill patternType="solid">
        <fgColor theme="5"/>
        <bgColor indexed="64"/>
      </patternFill>
    </fill>
    <fill>
      <patternFill patternType="solid">
        <fgColor theme="0" tint="-4.9989318521683403E-2"/>
        <bgColor theme="6" tint="0.79992065187536243"/>
      </patternFill>
    </fill>
    <fill>
      <patternFill patternType="solid">
        <fgColor theme="8" tint="0.59999389629810485"/>
        <bgColor indexed="64"/>
      </patternFill>
    </fill>
    <fill>
      <patternFill patternType="solid">
        <fgColor rgb="FF7093D2"/>
        <bgColor indexed="64"/>
      </patternFill>
    </fill>
    <fill>
      <patternFill patternType="solid">
        <fgColor rgb="FF416FC3"/>
        <bgColor indexed="64"/>
      </patternFill>
    </fill>
    <fill>
      <patternFill patternType="solid">
        <fgColor theme="5" tint="0.79998168889431442"/>
        <bgColor theme="6" tint="0.79992065187536243"/>
      </patternFill>
    </fill>
    <fill>
      <patternFill patternType="solid">
        <fgColor theme="5" tint="0.79998168889431442"/>
        <bgColor indexed="64"/>
      </patternFill>
    </fill>
    <fill>
      <patternFill patternType="solid">
        <fgColor rgb="FFFF9E8B"/>
        <bgColor indexed="64"/>
      </patternFill>
    </fill>
    <fill>
      <patternFill patternType="solid">
        <fgColor theme="9"/>
        <bgColor indexed="64"/>
      </patternFill>
    </fill>
    <fill>
      <patternFill patternType="solid">
        <fgColor theme="9" tint="0.39997558519241921"/>
        <bgColor indexed="64"/>
      </patternFill>
    </fill>
    <fill>
      <patternFill patternType="solid">
        <fgColor theme="7"/>
        <bgColor indexed="64"/>
      </patternFill>
    </fill>
    <fill>
      <patternFill patternType="solid">
        <fgColor theme="9" tint="0.79998168889431442"/>
        <bgColor indexed="64"/>
      </patternFill>
    </fill>
    <fill>
      <patternFill patternType="solid">
        <fgColor rgb="FFFFFFFF"/>
        <bgColor indexed="64"/>
      </patternFill>
    </fill>
    <fill>
      <patternFill patternType="solid">
        <fgColor rgb="FFFFFFFF"/>
        <bgColor theme="6" tint="0.79992065187536243"/>
      </patternFill>
    </fill>
    <fill>
      <patternFill patternType="solid">
        <fgColor rgb="FF86D4D2"/>
        <bgColor indexed="64"/>
      </patternFill>
    </fill>
    <fill>
      <patternFill patternType="solid">
        <fgColor rgb="FFD1EFEE"/>
        <bgColor theme="6" tint="0.79992065187536243"/>
      </patternFill>
    </fill>
    <fill>
      <patternFill patternType="solid">
        <fgColor theme="4" tint="0.79998168889431442"/>
        <bgColor theme="6" tint="0.79992065187536243"/>
      </patternFill>
    </fill>
    <fill>
      <patternFill patternType="solid">
        <fgColor theme="4" tint="0.7999816888943144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s>
  <borders count="4">
    <border>
      <left/>
      <right/>
      <top/>
      <bottom/>
      <diagonal/>
    </border>
    <border>
      <left/>
      <right/>
      <top/>
      <bottom style="thin">
        <color rgb="FFFF0000"/>
      </bottom>
      <diagonal/>
    </border>
    <border>
      <left/>
      <right/>
      <top/>
      <bottom style="thin">
        <color theme="5"/>
      </bottom>
      <diagonal/>
    </border>
    <border>
      <left style="thin">
        <color rgb="FFFF0000"/>
      </left>
      <right style="thin">
        <color rgb="FFFF0000"/>
      </right>
      <top style="thin">
        <color rgb="FFFF0000"/>
      </top>
      <bottom style="thin">
        <color rgb="FFFF0000"/>
      </bottom>
      <diagonal/>
    </border>
  </borders>
  <cellStyleXfs count="1">
    <xf numFmtId="0" fontId="0" fillId="0" borderId="0"/>
  </cellStyleXfs>
  <cellXfs count="162">
    <xf numFmtId="0" fontId="0" fillId="0" borderId="0" xfId="0"/>
    <xf numFmtId="0" fontId="4" fillId="0" borderId="0" xfId="0" applyFont="1" applyAlignment="1">
      <alignment horizontal="left" vertical="center" indent="1"/>
    </xf>
    <xf numFmtId="0" fontId="4" fillId="0" borderId="0" xfId="0" applyFont="1" applyAlignment="1">
      <alignment horizontal="left" vertical="center" wrapText="1"/>
    </xf>
    <xf numFmtId="0" fontId="4" fillId="0" borderId="0" xfId="0" applyFont="1" applyAlignment="1">
      <alignment horizontal="left" vertical="center" wrapText="1" indent="1"/>
    </xf>
    <xf numFmtId="0" fontId="4" fillId="0" borderId="0" xfId="0" applyFont="1" applyAlignment="1">
      <alignment horizontal="left" vertical="center"/>
    </xf>
    <xf numFmtId="0" fontId="5" fillId="0" borderId="0" xfId="0" applyFont="1" applyAlignment="1">
      <alignment horizontal="left" vertical="center" indent="1"/>
    </xf>
    <xf numFmtId="0" fontId="5" fillId="0" borderId="0" xfId="0" applyFont="1" applyAlignment="1">
      <alignment horizontal="left" vertical="center" wrapText="1"/>
    </xf>
    <xf numFmtId="0" fontId="0" fillId="0" borderId="0" xfId="0" applyAlignment="1">
      <alignment vertical="center"/>
    </xf>
    <xf numFmtId="0" fontId="0" fillId="0" borderId="0" xfId="0" applyAlignment="1">
      <alignment horizontal="center" vertical="center" wrapText="1"/>
    </xf>
    <xf numFmtId="0" fontId="0" fillId="0" borderId="0" xfId="0" applyAlignment="1">
      <alignment vertical="center" wrapText="1"/>
    </xf>
    <xf numFmtId="0" fontId="4" fillId="0" borderId="0" xfId="0" applyFont="1" applyAlignment="1">
      <alignment horizontal="center" vertical="center"/>
    </xf>
    <xf numFmtId="0" fontId="6" fillId="3" borderId="0" xfId="0" applyFont="1" applyFill="1" applyAlignment="1">
      <alignment horizontal="center" vertical="center" wrapText="1"/>
    </xf>
    <xf numFmtId="0" fontId="6" fillId="0" borderId="0" xfId="0" applyFont="1" applyAlignment="1">
      <alignment horizontal="center" vertical="center" wrapText="1"/>
    </xf>
    <xf numFmtId="0" fontId="6" fillId="0" borderId="0" xfId="0" applyFont="1" applyAlignment="1">
      <alignment horizontal="center" vertical="center"/>
    </xf>
    <xf numFmtId="0" fontId="7" fillId="4" borderId="0" xfId="0" applyFont="1" applyFill="1" applyAlignment="1">
      <alignment horizontal="center" vertical="center" wrapText="1"/>
    </xf>
    <xf numFmtId="0" fontId="8" fillId="0" borderId="0" xfId="0" applyFont="1" applyAlignment="1">
      <alignment horizontal="center" vertical="center" wrapText="1"/>
    </xf>
    <xf numFmtId="0" fontId="7" fillId="0" borderId="0" xfId="0" applyFont="1" applyAlignment="1">
      <alignment horizontal="center" vertical="center" wrapText="1"/>
    </xf>
    <xf numFmtId="0" fontId="8" fillId="5" borderId="0" xfId="0" applyFont="1" applyFill="1" applyAlignment="1">
      <alignment horizontal="center" vertical="center" wrapText="1"/>
    </xf>
    <xf numFmtId="0" fontId="7" fillId="4" borderId="0" xfId="0" applyFont="1" applyFill="1" applyAlignment="1">
      <alignment horizontal="center" wrapText="1"/>
    </xf>
    <xf numFmtId="0" fontId="0" fillId="0" borderId="0" xfId="0" applyAlignment="1">
      <alignment wrapText="1"/>
    </xf>
    <xf numFmtId="0" fontId="8" fillId="6" borderId="0" xfId="0" applyFont="1" applyFill="1" applyAlignment="1">
      <alignment horizontal="center" vertical="center" wrapText="1"/>
    </xf>
    <xf numFmtId="0" fontId="7" fillId="4" borderId="1" xfId="0" applyFont="1" applyFill="1" applyBorder="1" applyAlignment="1">
      <alignment horizontal="center" wrapText="1"/>
    </xf>
    <xf numFmtId="0" fontId="8" fillId="7" borderId="0" xfId="0" applyFont="1" applyFill="1" applyAlignment="1">
      <alignment horizontal="center" vertical="center" wrapText="1"/>
    </xf>
    <xf numFmtId="0" fontId="8" fillId="0" borderId="0" xfId="0" applyFont="1" applyAlignment="1">
      <alignment horizontal="left" vertical="center" wrapText="1" indent="1"/>
    </xf>
    <xf numFmtId="164" fontId="4" fillId="0" borderId="0" xfId="0" applyNumberFormat="1" applyFont="1" applyAlignment="1">
      <alignment horizontal="left" vertical="center" wrapText="1" indent="1"/>
    </xf>
    <xf numFmtId="0" fontId="10" fillId="0" borderId="0" xfId="0" applyFont="1" applyAlignment="1">
      <alignment horizontal="left" vertical="center" wrapText="1" indent="1"/>
    </xf>
    <xf numFmtId="0" fontId="11" fillId="0" borderId="0" xfId="0" applyFont="1" applyAlignment="1">
      <alignment horizontal="left" vertical="center" wrapText="1" indent="1"/>
    </xf>
    <xf numFmtId="0" fontId="12" fillId="0" borderId="0" xfId="0" applyFont="1" applyAlignment="1">
      <alignment horizontal="left" vertical="center" wrapText="1" indent="1"/>
    </xf>
    <xf numFmtId="0" fontId="12" fillId="0" borderId="0" xfId="0" applyFont="1" applyAlignment="1">
      <alignment horizontal="center" vertical="center" wrapText="1"/>
    </xf>
    <xf numFmtId="0" fontId="4" fillId="0" borderId="0" xfId="0" applyFont="1" applyAlignment="1">
      <alignment horizontal="center" vertical="center" wrapText="1"/>
    </xf>
    <xf numFmtId="0" fontId="5" fillId="0" borderId="0" xfId="0" applyFont="1" applyAlignment="1">
      <alignment horizontal="left" vertical="center"/>
    </xf>
    <xf numFmtId="0" fontId="8" fillId="0" borderId="0" xfId="0" applyFont="1" applyAlignment="1">
      <alignment horizontal="left" vertical="center" indent="1"/>
    </xf>
    <xf numFmtId="164" fontId="5" fillId="0" borderId="0" xfId="0" applyNumberFormat="1" applyFont="1" applyAlignment="1">
      <alignment horizontal="left" vertical="center" indent="1"/>
    </xf>
    <xf numFmtId="0" fontId="13" fillId="0" borderId="0" xfId="0" applyFont="1" applyAlignment="1">
      <alignment horizontal="center" vertical="top" wrapText="1"/>
    </xf>
    <xf numFmtId="0" fontId="14" fillId="0" borderId="0" xfId="0" applyFont="1" applyAlignment="1">
      <alignment horizontal="left" vertical="center" indent="1"/>
    </xf>
    <xf numFmtId="0" fontId="15" fillId="0" borderId="0" xfId="0" applyFont="1" applyAlignment="1">
      <alignment horizontal="left" vertical="center" indent="1"/>
    </xf>
    <xf numFmtId="165" fontId="16" fillId="0" borderId="0" xfId="0" applyNumberFormat="1" applyFont="1" applyAlignment="1">
      <alignment horizontal="left" vertical="center" indent="1"/>
    </xf>
    <xf numFmtId="0" fontId="17" fillId="0" borderId="0" xfId="0" applyFont="1" applyAlignment="1">
      <alignment horizontal="left" vertical="center" indent="1"/>
    </xf>
    <xf numFmtId="0" fontId="18" fillId="0" borderId="0" xfId="0" applyFont="1" applyAlignment="1">
      <alignment horizontal="left" vertical="center" indent="1"/>
    </xf>
    <xf numFmtId="0" fontId="19" fillId="0" borderId="0" xfId="0" applyFont="1" applyAlignment="1">
      <alignment horizontal="center" vertical="center"/>
    </xf>
    <xf numFmtId="0" fontId="5" fillId="0" borderId="0" xfId="0" applyFont="1" applyAlignment="1">
      <alignment horizontal="center" vertical="center"/>
    </xf>
    <xf numFmtId="0" fontId="19" fillId="0" borderId="0" xfId="0" applyFont="1" applyAlignment="1">
      <alignment horizontal="left" vertical="center" wrapText="1" indent="1"/>
    </xf>
    <xf numFmtId="0" fontId="6" fillId="0" borderId="0" xfId="0" applyFont="1" applyAlignment="1">
      <alignment horizontal="left" vertical="center" wrapText="1" indent="1"/>
    </xf>
    <xf numFmtId="0" fontId="20" fillId="0" borderId="0" xfId="0" applyFont="1" applyAlignment="1">
      <alignment horizontal="center" vertical="center" wrapText="1"/>
    </xf>
    <xf numFmtId="164" fontId="20" fillId="0" borderId="0" xfId="0" applyNumberFormat="1" applyFont="1" applyAlignment="1">
      <alignment horizontal="center" vertical="center" wrapText="1"/>
    </xf>
    <xf numFmtId="0" fontId="21" fillId="0" borderId="0" xfId="0" applyFont="1" applyAlignment="1">
      <alignment horizontal="left" vertical="center" wrapText="1" indent="1"/>
    </xf>
    <xf numFmtId="0" fontId="22" fillId="0" borderId="0" xfId="0" applyFont="1" applyAlignment="1">
      <alignment horizontal="left" vertical="center" wrapText="1" indent="1"/>
    </xf>
    <xf numFmtId="0" fontId="23" fillId="0" borderId="0" xfId="0" applyFont="1" applyAlignment="1">
      <alignment horizontal="left" vertical="center" wrapText="1" indent="1"/>
    </xf>
    <xf numFmtId="0" fontId="24" fillId="0" borderId="0" xfId="0" applyFont="1" applyAlignment="1">
      <alignment horizontal="center" wrapText="1"/>
    </xf>
    <xf numFmtId="0" fontId="0" fillId="0" borderId="0" xfId="0" applyAlignment="1">
      <alignment horizontal="center" wrapText="1"/>
    </xf>
    <xf numFmtId="0" fontId="0" fillId="0" borderId="0" xfId="0" applyAlignment="1">
      <alignment horizontal="left" vertical="center" wrapText="1" indent="1"/>
    </xf>
    <xf numFmtId="0" fontId="25" fillId="0" borderId="0" xfId="0" applyFont="1" applyAlignment="1">
      <alignment horizontal="left" vertical="center" wrapText="1" indent="1"/>
    </xf>
    <xf numFmtId="0" fontId="25" fillId="0" borderId="0" xfId="0" applyFont="1" applyAlignment="1">
      <alignment wrapText="1"/>
    </xf>
    <xf numFmtId="0" fontId="0" fillId="0" borderId="0" xfId="0" applyAlignment="1">
      <alignment horizontal="center"/>
    </xf>
    <xf numFmtId="0" fontId="26" fillId="0" borderId="0" xfId="0" applyFont="1" applyAlignment="1">
      <alignment horizontal="center"/>
    </xf>
    <xf numFmtId="0" fontId="27" fillId="0" borderId="3" xfId="0" applyFont="1" applyBorder="1" applyAlignment="1">
      <alignment horizontal="left" vertical="center" wrapText="1" indent="1"/>
    </xf>
    <xf numFmtId="0" fontId="0" fillId="11" borderId="0" xfId="0" applyFill="1" applyAlignment="1">
      <alignment horizontal="center" wrapText="1"/>
    </xf>
    <xf numFmtId="0" fontId="28" fillId="0" borderId="0" xfId="0" applyFont="1" applyAlignment="1">
      <alignment horizontal="left" vertical="center" wrapText="1" indent="1"/>
    </xf>
    <xf numFmtId="0" fontId="29" fillId="0" borderId="0" xfId="0" applyFont="1" applyAlignment="1">
      <alignment horizontal="center" wrapText="1"/>
    </xf>
    <xf numFmtId="0" fontId="0" fillId="11" borderId="0" xfId="0" applyFill="1" applyAlignment="1">
      <alignment horizontal="center"/>
    </xf>
    <xf numFmtId="0" fontId="0" fillId="12" borderId="0" xfId="0" applyFill="1" applyAlignment="1">
      <alignment horizontal="left" vertical="center" wrapText="1" indent="1"/>
    </xf>
    <xf numFmtId="0" fontId="0" fillId="13" borderId="0" xfId="0" applyFill="1" applyAlignment="1">
      <alignment horizontal="center"/>
    </xf>
    <xf numFmtId="0" fontId="30" fillId="0" borderId="3" xfId="0" applyFont="1" applyBorder="1" applyAlignment="1">
      <alignment horizontal="left" vertical="center" wrapText="1" indent="1"/>
    </xf>
    <xf numFmtId="0" fontId="31" fillId="0" borderId="0" xfId="0" applyFont="1" applyAlignment="1">
      <alignment horizontal="left" vertical="center" wrapText="1" indent="1"/>
    </xf>
    <xf numFmtId="0" fontId="32" fillId="0" borderId="0" xfId="0" applyFont="1" applyAlignment="1">
      <alignment horizontal="left" vertical="center" wrapText="1" indent="1"/>
    </xf>
    <xf numFmtId="0" fontId="33" fillId="0" borderId="0" xfId="0" applyFont="1" applyAlignment="1">
      <alignment horizontal="left" vertical="center" wrapText="1" indent="1"/>
    </xf>
    <xf numFmtId="0" fontId="2" fillId="0" borderId="0" xfId="0" applyFont="1" applyAlignment="1">
      <alignment horizontal="center" wrapText="1"/>
    </xf>
    <xf numFmtId="0" fontId="2" fillId="0" borderId="0" xfId="0" applyFont="1" applyAlignment="1">
      <alignment horizontal="center"/>
    </xf>
    <xf numFmtId="0" fontId="34" fillId="0" borderId="0" xfId="0" applyFont="1" applyAlignment="1">
      <alignment horizontal="left" vertical="center" wrapText="1" indent="1"/>
    </xf>
    <xf numFmtId="16" fontId="0" fillId="0" borderId="0" xfId="0" applyNumberFormat="1" applyAlignment="1">
      <alignment horizontal="center" wrapText="1"/>
    </xf>
    <xf numFmtId="0" fontId="31" fillId="0" borderId="3" xfId="0" applyFont="1" applyBorder="1" applyAlignment="1">
      <alignment horizontal="left" vertical="center" wrapText="1" indent="1"/>
    </xf>
    <xf numFmtId="49" fontId="0" fillId="12" borderId="0" xfId="0" applyNumberFormat="1" applyFill="1" applyAlignment="1">
      <alignment horizontal="left" vertical="center" wrapText="1" indent="1"/>
    </xf>
    <xf numFmtId="0" fontId="9" fillId="0" borderId="0" xfId="0" applyFont="1" applyAlignment="1">
      <alignment horizontal="center" wrapText="1"/>
    </xf>
    <xf numFmtId="0" fontId="9" fillId="0" borderId="0" xfId="0" applyFont="1" applyAlignment="1">
      <alignment horizontal="left" vertical="center" wrapText="1" indent="1"/>
    </xf>
    <xf numFmtId="164" fontId="19" fillId="0" borderId="0" xfId="0" applyNumberFormat="1" applyFont="1" applyAlignment="1">
      <alignment horizontal="left" vertical="center" wrapText="1" indent="1"/>
    </xf>
    <xf numFmtId="0" fontId="8" fillId="0" borderId="0" xfId="0" applyFont="1" applyAlignment="1">
      <alignment horizontal="left" vertical="top"/>
    </xf>
    <xf numFmtId="0" fontId="8" fillId="0" borderId="0" xfId="0" applyFont="1" applyAlignment="1">
      <alignment horizontal="center" vertical="center"/>
    </xf>
    <xf numFmtId="0" fontId="8" fillId="0" borderId="0" xfId="0" applyFont="1" applyAlignment="1">
      <alignment horizontal="left" vertical="center"/>
    </xf>
    <xf numFmtId="0" fontId="35" fillId="10" borderId="0" xfId="0" applyFont="1" applyFill="1" applyAlignment="1">
      <alignment vertical="center" wrapText="1"/>
    </xf>
    <xf numFmtId="0" fontId="9" fillId="8" borderId="0" xfId="0" applyFont="1" applyFill="1" applyAlignment="1">
      <alignment vertical="center" wrapText="1"/>
    </xf>
    <xf numFmtId="0" fontId="7" fillId="0" borderId="0" xfId="0" applyFont="1" applyAlignment="1">
      <alignment vertical="center" wrapText="1"/>
    </xf>
    <xf numFmtId="0" fontId="36" fillId="0" borderId="0" xfId="0" applyFont="1" applyAlignment="1">
      <alignment vertical="center"/>
    </xf>
    <xf numFmtId="0" fontId="35" fillId="15" borderId="0" xfId="0" applyFont="1" applyFill="1" applyAlignment="1">
      <alignment vertical="center" wrapText="1"/>
    </xf>
    <xf numFmtId="0" fontId="9" fillId="16" borderId="0" xfId="0" applyFont="1" applyFill="1" applyAlignment="1">
      <alignment vertical="center" wrapText="1"/>
    </xf>
    <xf numFmtId="0" fontId="36" fillId="15" borderId="0" xfId="0" applyFont="1" applyFill="1" applyAlignment="1">
      <alignment vertical="center"/>
    </xf>
    <xf numFmtId="0" fontId="8" fillId="0" borderId="0" xfId="0" applyFont="1" applyAlignment="1">
      <alignment vertical="center"/>
    </xf>
    <xf numFmtId="0" fontId="9" fillId="15" borderId="0" xfId="0" applyFont="1" applyFill="1" applyAlignment="1">
      <alignment vertical="center" wrapText="1"/>
    </xf>
    <xf numFmtId="0" fontId="8" fillId="15" borderId="0" xfId="0" applyFont="1" applyFill="1" applyAlignment="1">
      <alignment vertical="center"/>
    </xf>
    <xf numFmtId="0" fontId="35" fillId="17" borderId="0" xfId="0" applyFont="1" applyFill="1" applyAlignment="1">
      <alignment vertical="center" wrapText="1"/>
    </xf>
    <xf numFmtId="0" fontId="9" fillId="18" borderId="0" xfId="0" applyFont="1" applyFill="1" applyAlignment="1">
      <alignment vertical="center" wrapText="1"/>
    </xf>
    <xf numFmtId="0" fontId="9" fillId="0" borderId="0" xfId="0" applyFont="1" applyAlignment="1">
      <alignment vertical="center" wrapText="1"/>
    </xf>
    <xf numFmtId="0" fontId="0" fillId="8" borderId="0" xfId="0" applyFill="1" applyAlignment="1">
      <alignment vertical="center" wrapText="1"/>
    </xf>
    <xf numFmtId="0" fontId="35" fillId="0" borderId="0" xfId="0" applyFont="1" applyAlignment="1">
      <alignment vertical="center" wrapText="1"/>
    </xf>
    <xf numFmtId="0" fontId="37" fillId="0" borderId="0" xfId="0" applyFont="1" applyAlignment="1">
      <alignment vertical="center" wrapText="1"/>
    </xf>
    <xf numFmtId="0" fontId="24" fillId="0" borderId="0" xfId="0" applyFont="1" applyAlignment="1">
      <alignment vertical="center" wrapText="1"/>
    </xf>
    <xf numFmtId="0" fontId="7" fillId="16" borderId="0" xfId="0" applyFont="1" applyFill="1" applyAlignment="1">
      <alignment vertical="center" wrapText="1"/>
    </xf>
    <xf numFmtId="0" fontId="35" fillId="12" borderId="0" xfId="0" applyFont="1" applyFill="1" applyAlignment="1">
      <alignment vertical="center" wrapText="1"/>
    </xf>
    <xf numFmtId="0" fontId="9" fillId="14" borderId="0" xfId="0" applyFont="1" applyFill="1" applyAlignment="1">
      <alignment vertical="center" wrapText="1"/>
    </xf>
    <xf numFmtId="0" fontId="1" fillId="15" borderId="0" xfId="0" applyFont="1" applyFill="1" applyAlignment="1">
      <alignment vertical="center" wrapText="1"/>
    </xf>
    <xf numFmtId="0" fontId="3" fillId="15" borderId="0" xfId="0" applyFont="1" applyFill="1" applyAlignment="1">
      <alignment vertical="center" wrapText="1"/>
    </xf>
    <xf numFmtId="0" fontId="3" fillId="0" borderId="0" xfId="0" applyFont="1" applyAlignment="1">
      <alignment vertical="center" wrapText="1"/>
    </xf>
    <xf numFmtId="0" fontId="3" fillId="15" borderId="0" xfId="0" applyFont="1" applyFill="1" applyAlignment="1">
      <alignment vertical="center"/>
    </xf>
    <xf numFmtId="0" fontId="9" fillId="19" borderId="0" xfId="0" applyFont="1" applyFill="1" applyAlignment="1">
      <alignment vertical="center" wrapText="1"/>
    </xf>
    <xf numFmtId="0" fontId="8" fillId="0" borderId="1" xfId="0" applyFont="1" applyBorder="1" applyAlignment="1">
      <alignment vertical="center"/>
    </xf>
    <xf numFmtId="0" fontId="3" fillId="0" borderId="1" xfId="0" applyFont="1" applyBorder="1" applyAlignment="1">
      <alignment vertical="center" wrapText="1"/>
    </xf>
    <xf numFmtId="0" fontId="35" fillId="0" borderId="1" xfId="0" applyFont="1" applyBorder="1" applyAlignment="1">
      <alignment vertical="center" wrapText="1"/>
    </xf>
    <xf numFmtId="0" fontId="9" fillId="0" borderId="1" xfId="0" applyFont="1" applyBorder="1" applyAlignment="1">
      <alignment vertical="center" wrapText="1"/>
    </xf>
    <xf numFmtId="0" fontId="3" fillId="0" borderId="0" xfId="0" applyFont="1" applyAlignment="1">
      <alignment horizontal="left" vertical="top"/>
    </xf>
    <xf numFmtId="0" fontId="1" fillId="0" borderId="0" xfId="0" applyFont="1"/>
    <xf numFmtId="0" fontId="1" fillId="0" borderId="0" xfId="0" applyFon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2" fillId="0" borderId="0" xfId="0" applyFont="1"/>
    <xf numFmtId="0" fontId="9" fillId="4" borderId="0" xfId="0" applyFont="1" applyFill="1" applyAlignment="1">
      <alignment horizontal="left" vertical="center" wrapText="1"/>
    </xf>
    <xf numFmtId="0" fontId="9" fillId="0" borderId="0" xfId="0" applyFont="1" applyAlignment="1">
      <alignment horizontal="left" vertical="center" wrapText="1"/>
    </xf>
    <xf numFmtId="0" fontId="9" fillId="4" borderId="0" xfId="0" applyFont="1" applyFill="1" applyAlignment="1">
      <alignment horizontal="left" vertical="center" wrapText="1" indent="1"/>
    </xf>
    <xf numFmtId="0" fontId="9" fillId="4" borderId="2" xfId="0" applyFont="1" applyFill="1" applyBorder="1" applyAlignment="1">
      <alignment horizontal="left" vertical="center" wrapText="1" indent="1"/>
    </xf>
    <xf numFmtId="0" fontId="9" fillId="4" borderId="2" xfId="0" applyFont="1" applyFill="1" applyBorder="1" applyAlignment="1">
      <alignment horizontal="left" vertical="center" wrapText="1"/>
    </xf>
    <xf numFmtId="0" fontId="0" fillId="20" borderId="0" xfId="0" applyFill="1"/>
    <xf numFmtId="0" fontId="19" fillId="20" borderId="0" xfId="0" applyFont="1" applyFill="1" applyAlignment="1">
      <alignment horizontal="left" vertical="center"/>
    </xf>
    <xf numFmtId="0" fontId="9" fillId="0" borderId="0" xfId="0" applyFont="1"/>
    <xf numFmtId="0" fontId="0" fillId="21" borderId="0" xfId="0" applyFill="1"/>
    <xf numFmtId="0" fontId="0" fillId="22" borderId="0" xfId="0" applyFill="1"/>
    <xf numFmtId="0" fontId="0" fillId="23" borderId="0" xfId="0" applyFill="1"/>
    <xf numFmtId="0" fontId="23" fillId="20" borderId="0" xfId="0" applyFont="1" applyFill="1" applyAlignment="1">
      <alignment horizontal="left" vertical="center"/>
    </xf>
    <xf numFmtId="0" fontId="0" fillId="24" borderId="0" xfId="0" applyFill="1" applyAlignment="1">
      <alignment horizontal="left" vertical="top" wrapText="1"/>
    </xf>
    <xf numFmtId="0" fontId="0" fillId="20" borderId="0" xfId="0" applyFill="1" applyAlignment="1">
      <alignment horizontal="left" vertical="top" wrapText="1"/>
    </xf>
    <xf numFmtId="0" fontId="29" fillId="0" borderId="0" xfId="0" applyFont="1" applyAlignment="1">
      <alignment wrapText="1"/>
    </xf>
    <xf numFmtId="0" fontId="29" fillId="0" borderId="0" xfId="0" applyFont="1" applyAlignment="1">
      <alignment horizontal="left" vertical="center" wrapText="1"/>
    </xf>
    <xf numFmtId="0" fontId="9" fillId="0" borderId="0" xfId="0" applyFont="1" applyAlignment="1">
      <alignment wrapText="1"/>
    </xf>
    <xf numFmtId="0" fontId="38" fillId="0" borderId="0" xfId="0" applyFont="1" applyAlignment="1">
      <alignment wrapText="1"/>
    </xf>
    <xf numFmtId="165" fontId="15" fillId="0" borderId="0" xfId="0" applyNumberFormat="1" applyFont="1" applyAlignment="1">
      <alignment horizontal="left" vertical="center" indent="1"/>
    </xf>
    <xf numFmtId="0" fontId="39" fillId="0" borderId="0" xfId="0" applyFont="1" applyAlignment="1">
      <alignment horizontal="left" vertical="top" wrapText="1"/>
    </xf>
    <xf numFmtId="165" fontId="40" fillId="0" borderId="0" xfId="0" applyNumberFormat="1" applyFont="1" applyAlignment="1">
      <alignment horizontal="left" vertical="center" indent="1"/>
    </xf>
    <xf numFmtId="0" fontId="18" fillId="0" borderId="0" xfId="0" applyFont="1" applyAlignment="1">
      <alignment horizontal="center" vertical="center"/>
    </xf>
    <xf numFmtId="0" fontId="38" fillId="0" borderId="0" xfId="0" applyFont="1" applyAlignment="1">
      <alignment horizontal="left" vertical="center" wrapText="1"/>
    </xf>
    <xf numFmtId="0" fontId="41" fillId="12" borderId="0" xfId="0" applyFont="1" applyFill="1" applyAlignment="1">
      <alignment vertical="center" wrapText="1"/>
    </xf>
    <xf numFmtId="0" fontId="42" fillId="0" borderId="0" xfId="0" applyFont="1" applyAlignment="1">
      <alignment horizontal="left" vertical="top" wrapText="1"/>
    </xf>
    <xf numFmtId="0" fontId="43" fillId="0" borderId="0" xfId="0" applyFont="1" applyAlignment="1">
      <alignment horizontal="left" vertical="top" wrapText="1"/>
    </xf>
    <xf numFmtId="0" fontId="44" fillId="0" borderId="0" xfId="0" applyFont="1" applyAlignment="1">
      <alignment horizontal="left" vertical="top" wrapText="1"/>
    </xf>
    <xf numFmtId="0" fontId="45" fillId="8" borderId="0" xfId="0" applyFont="1" applyFill="1" applyAlignment="1">
      <alignment vertical="top" wrapText="1"/>
    </xf>
    <xf numFmtId="0" fontId="46" fillId="10" borderId="0" xfId="0" applyFont="1" applyFill="1" applyAlignment="1">
      <alignment vertical="center" wrapText="1"/>
    </xf>
    <xf numFmtId="0" fontId="45" fillId="8" borderId="0" xfId="0" applyFont="1" applyFill="1" applyAlignment="1">
      <alignment vertical="center" wrapText="1"/>
    </xf>
    <xf numFmtId="0" fontId="2" fillId="20" borderId="0" xfId="0" applyFont="1" applyFill="1" applyAlignment="1">
      <alignment horizontal="left" vertical="top"/>
    </xf>
    <xf numFmtId="0" fontId="2" fillId="21" borderId="0" xfId="0" applyFont="1" applyFill="1" applyAlignment="1">
      <alignment horizontal="left" vertical="top" wrapText="1"/>
    </xf>
    <xf numFmtId="0" fontId="2" fillId="22" borderId="0" xfId="0" applyFont="1" applyFill="1" applyAlignment="1">
      <alignment horizontal="left" vertical="top" wrapText="1"/>
    </xf>
    <xf numFmtId="0" fontId="2" fillId="23" borderId="0" xfId="0" applyFont="1" applyFill="1" applyAlignment="1">
      <alignment horizontal="left" vertical="top" wrapText="1"/>
    </xf>
    <xf numFmtId="0" fontId="2" fillId="24" borderId="0" xfId="0" applyFont="1" applyFill="1" applyAlignment="1">
      <alignment horizontal="left" vertical="top" wrapText="1"/>
    </xf>
    <xf numFmtId="0" fontId="9" fillId="0" borderId="0" xfId="0" applyFont="1" applyAlignment="1">
      <alignment horizontal="left" vertical="center"/>
    </xf>
    <xf numFmtId="49" fontId="0" fillId="0" borderId="0" xfId="0" applyNumberFormat="1"/>
    <xf numFmtId="0" fontId="37" fillId="0" borderId="0" xfId="0" applyFont="1" applyAlignment="1">
      <alignment horizontal="left" vertical="center"/>
    </xf>
    <xf numFmtId="0" fontId="0" fillId="9" borderId="0" xfId="0" applyFill="1"/>
    <xf numFmtId="0" fontId="0" fillId="0" borderId="0" xfId="0" applyAlignment="1">
      <alignment horizontal="center" vertical="center"/>
    </xf>
    <xf numFmtId="0" fontId="2" fillId="0" borderId="0" xfId="0" applyFont="1" applyAlignment="1">
      <alignment horizontal="center" vertical="center"/>
    </xf>
    <xf numFmtId="0" fontId="0" fillId="0" borderId="0" xfId="0" applyAlignment="1">
      <alignment horizontal="left" vertical="center" wrapText="1"/>
    </xf>
    <xf numFmtId="0" fontId="1" fillId="2" borderId="0" xfId="0" applyFont="1" applyFill="1" applyAlignment="1">
      <alignment horizontal="center" vertical="center"/>
    </xf>
    <xf numFmtId="0" fontId="9" fillId="9" borderId="0" xfId="0" applyFont="1" applyFill="1" applyAlignment="1">
      <alignment horizontal="left" vertical="center" wrapText="1"/>
    </xf>
    <xf numFmtId="0" fontId="9" fillId="8" borderId="0" xfId="0" applyFont="1" applyFill="1" applyAlignment="1">
      <alignment horizontal="left" vertical="center" wrapText="1"/>
    </xf>
    <xf numFmtId="0" fontId="35" fillId="10" borderId="0" xfId="0" applyFont="1" applyFill="1" applyAlignment="1">
      <alignment vertical="center" wrapText="1"/>
    </xf>
    <xf numFmtId="0" fontId="0" fillId="8" borderId="0" xfId="0" applyFill="1" applyAlignment="1" applyProtection="1">
      <alignment horizontal="left" vertical="center" wrapText="1"/>
      <protection locked="0"/>
    </xf>
    <xf numFmtId="0" fontId="0" fillId="8" borderId="0" xfId="0" applyFill="1" applyAlignment="1">
      <alignment horizontal="left" vertical="center" wrapText="1"/>
    </xf>
  </cellXfs>
  <cellStyles count="1">
    <cellStyle name="Normal" xfId="0" builtinId="0"/>
  </cellStyles>
  <dxfs count="105">
    <dxf>
      <font>
        <b val="0"/>
        <i val="0"/>
        <strike val="0"/>
        <condense val="0"/>
        <extend val="0"/>
        <outline val="0"/>
        <shadow val="0"/>
        <u val="none"/>
        <vertAlign val="baseline"/>
        <sz val="10"/>
        <color theme="1" tint="0.14999847407452621"/>
        <name val="Calibr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tint="0.1499984740745262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Calibri"/>
        <family val="2"/>
        <scheme val="minor"/>
      </font>
      <numFmt numFmtId="164" formatCode="&quot;$&quot;#,##0"/>
      <alignment horizontal="left" vertical="center" textRotation="0" wrapText="1"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1"/>
        <color theme="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tint="0.1499984740745262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1" indent="1" justifyLastLine="0" shrinkToFit="0" readingOrder="0"/>
    </dxf>
    <dxf>
      <font>
        <b/>
        <i val="0"/>
        <strike val="0"/>
        <condense val="0"/>
        <extend val="0"/>
        <outline val="0"/>
        <shadow val="0"/>
        <u val="none"/>
        <vertAlign val="baseline"/>
        <sz val="10"/>
        <color theme="1" tint="0.14999847407452621"/>
        <name val="Calibri"/>
        <family val="2"/>
        <scheme val="minor"/>
      </font>
      <alignment horizontal="left" vertical="center" textRotation="0" wrapText="1" indent="1" justifyLastLine="0" shrinkToFit="0" readingOrder="0"/>
    </dxf>
    <dxf>
      <font>
        <b/>
        <i val="0"/>
        <strike val="0"/>
        <condense val="0"/>
        <extend val="0"/>
        <outline val="0"/>
        <shadow val="0"/>
        <u val="none"/>
        <vertAlign val="baseline"/>
        <sz val="10"/>
        <color theme="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1"/>
        <color theme="1" tint="4.9989318521683403E-2"/>
        <name val="Calibri Light"/>
        <family val="2"/>
        <scheme val="major"/>
      </font>
      <alignment horizontal="center" vertical="center" textRotation="0" wrapText="1" indent="0" justifyLastLine="0" shrinkToFit="0" readingOrder="0"/>
    </dxf>
    <dxf>
      <fill>
        <patternFill>
          <bgColor theme="9" tint="0.59996337778862885"/>
        </patternFill>
      </fill>
    </dxf>
    <dxf>
      <fill>
        <patternFill>
          <bgColor theme="9" tint="0.39994506668294322"/>
        </patternFill>
      </fill>
    </dxf>
    <dxf>
      <fill>
        <patternFill>
          <bgColor theme="9"/>
        </patternFill>
      </fill>
    </dxf>
    <dxf>
      <fill>
        <patternFill>
          <bgColor theme="9"/>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39994506668294322"/>
        </patternFill>
      </fill>
    </dxf>
    <dxf>
      <fill>
        <patternFill>
          <bgColor theme="9" tint="0.59996337778862885"/>
        </patternFill>
      </fill>
    </dxf>
    <dxf>
      <fill>
        <patternFill>
          <bgColor theme="9"/>
        </patternFill>
      </fill>
    </dxf>
    <dxf>
      <fill>
        <patternFill>
          <bgColor theme="9" tint="0.39994506668294322"/>
        </patternFill>
      </fill>
    </dxf>
    <dxf>
      <fill>
        <patternFill>
          <bgColor theme="9" tint="0.59996337778862885"/>
        </patternFill>
      </fill>
    </dxf>
    <dxf>
      <fill>
        <patternFill>
          <bgColor theme="9" tint="0.79998168889431442"/>
        </patternFill>
      </fill>
    </dxf>
    <dxf>
      <fill>
        <patternFill>
          <bgColor theme="9"/>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39994506668294322"/>
        </patternFill>
      </fill>
    </dxf>
    <dxf>
      <fill>
        <patternFill>
          <bgColor theme="9"/>
        </patternFill>
      </fill>
    </dxf>
    <dxf>
      <fill>
        <patternFill>
          <bgColor theme="9"/>
        </patternFill>
      </fill>
    </dxf>
    <dxf>
      <fill>
        <patternFill>
          <bgColor theme="9"/>
        </patternFill>
      </fill>
    </dxf>
    <dxf>
      <fill>
        <patternFill>
          <bgColor theme="9" tint="0.39994506668294322"/>
        </patternFill>
      </fill>
    </dxf>
    <dxf>
      <fill>
        <patternFill>
          <bgColor theme="9" tint="0.59996337778862885"/>
        </patternFill>
      </fill>
    </dxf>
    <dxf>
      <fill>
        <patternFill>
          <bgColor theme="9"/>
        </patternFill>
      </fill>
    </dxf>
    <dxf>
      <fill>
        <patternFill>
          <bgColor theme="9" tint="0.39994506668294322"/>
        </patternFill>
      </fill>
    </dxf>
    <dxf>
      <fill>
        <patternFill>
          <bgColor theme="9" tint="0.59996337778862885"/>
        </patternFill>
      </fill>
    </dxf>
    <dxf>
      <fill>
        <patternFill>
          <bgColor theme="9"/>
        </patternFill>
      </fill>
    </dxf>
    <dxf>
      <fill>
        <patternFill>
          <bgColor theme="9" tint="0.59996337778862885"/>
        </patternFill>
      </fill>
    </dxf>
    <dxf>
      <fill>
        <patternFill>
          <bgColor theme="9" tint="0.79998168889431442"/>
        </patternFill>
      </fill>
    </dxf>
    <dxf>
      <fill>
        <patternFill>
          <bgColor theme="9"/>
        </patternFill>
      </fill>
    </dxf>
    <dxf>
      <fill>
        <patternFill>
          <bgColor theme="9" tint="0.39994506668294322"/>
        </patternFill>
      </fill>
    </dxf>
    <dxf>
      <fill>
        <patternFill>
          <bgColor theme="9" tint="0.59996337778862885"/>
        </patternFill>
      </fill>
    </dxf>
    <dxf>
      <fill>
        <patternFill>
          <bgColor theme="9" tint="0.79998168889431442"/>
        </patternFill>
      </fill>
    </dxf>
    <dxf>
      <fill>
        <patternFill>
          <bgColor theme="9"/>
        </patternFill>
      </fill>
    </dxf>
    <dxf>
      <fill>
        <patternFill>
          <bgColor theme="9" tint="0.39994506668294322"/>
        </patternFill>
      </fill>
    </dxf>
    <dxf>
      <fill>
        <patternFill>
          <bgColor theme="9" tint="0.59996337778862885"/>
        </patternFill>
      </fill>
    </dxf>
    <dxf>
      <fill>
        <patternFill>
          <bgColor theme="9" tint="0.79998168889431442"/>
        </patternFill>
      </fill>
    </dxf>
    <dxf>
      <fill>
        <patternFill>
          <bgColor theme="9"/>
        </patternFill>
      </fill>
    </dxf>
    <dxf>
      <fill>
        <patternFill>
          <bgColor theme="9" tint="0.39994506668294322"/>
        </patternFill>
      </fill>
    </dxf>
    <dxf>
      <fill>
        <patternFill>
          <bgColor theme="9" tint="0.39994506668294322"/>
        </patternFill>
      </fill>
    </dxf>
    <dxf>
      <fill>
        <patternFill>
          <bgColor theme="9"/>
        </patternFill>
      </fill>
    </dxf>
    <dxf>
      <fill>
        <patternFill>
          <bgColor theme="9"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patternFill>
      </fill>
    </dxf>
    <dxf>
      <fill>
        <patternFill>
          <bgColor theme="9" tint="0.39994506668294322"/>
        </patternFill>
      </fill>
    </dxf>
    <dxf>
      <fill>
        <patternFill>
          <bgColor theme="9" tint="0.59996337778862885"/>
        </patternFill>
      </fill>
    </dxf>
    <dxf>
      <fill>
        <patternFill>
          <bgColor theme="9"/>
        </patternFill>
      </fill>
    </dxf>
    <dxf>
      <fill>
        <patternFill>
          <bgColor theme="9" tint="0.39994506668294322"/>
        </patternFill>
      </fill>
    </dxf>
    <dxf>
      <fill>
        <patternFill>
          <bgColor theme="9"/>
        </patternFill>
      </fill>
    </dxf>
    <dxf>
      <fill>
        <patternFill>
          <bgColor theme="9" tint="0.39994506668294322"/>
        </patternFill>
      </fill>
    </dxf>
    <dxf>
      <fill>
        <patternFill>
          <bgColor theme="9" tint="0.59996337778862885"/>
        </patternFill>
      </fill>
    </dxf>
    <dxf>
      <fill>
        <patternFill>
          <bgColor theme="9"/>
        </patternFill>
      </fill>
    </dxf>
    <dxf>
      <fill>
        <patternFill>
          <bgColor theme="9" tint="0.39994506668294322"/>
        </patternFill>
      </fill>
    </dxf>
    <dxf>
      <fill>
        <patternFill>
          <bgColor theme="9" tint="0.59996337778862885"/>
        </patternFill>
      </fill>
    </dxf>
    <dxf>
      <fill>
        <patternFill>
          <bgColor theme="9" tint="0.79998168889431442"/>
        </patternFill>
      </fill>
    </dxf>
    <dxf>
      <fill>
        <patternFill>
          <bgColor theme="9" tint="0.39994506668294322"/>
        </patternFill>
      </fill>
    </dxf>
    <dxf>
      <fill>
        <patternFill patternType="solid">
          <fgColor auto="1"/>
          <bgColor theme="9"/>
        </patternFill>
      </fill>
    </dxf>
    <dxf>
      <fill>
        <patternFill>
          <bgColor theme="9" tint="0.59996337778862885"/>
        </patternFill>
      </fill>
    </dxf>
    <dxf>
      <fill>
        <patternFill>
          <bgColor theme="9" tint="0.79998168889431442"/>
        </patternFill>
      </fill>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tint="0.14999847407452621"/>
        <name val="Calibri"/>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tint="4.9989318521683403E-2"/>
        <name val="Calibri Light"/>
        <scheme val="major"/>
      </font>
      <alignment horizontal="center" vertical="center" textRotation="0" wrapText="1" indent="0" justifyLastLine="0" shrinkToFit="0" readingOrder="0"/>
    </dxf>
    <dxf>
      <fill>
        <patternFill>
          <bgColor rgb="FF6D91D1"/>
        </patternFill>
      </fill>
    </dxf>
    <dxf>
      <fill>
        <patternFill>
          <bgColor theme="8" tint="0.39994506668294322"/>
        </patternFill>
      </fill>
    </dxf>
    <dxf>
      <font>
        <color auto="1"/>
      </font>
      <fill>
        <patternFill>
          <bgColor rgb="FF64C8C6"/>
        </patternFill>
      </fill>
      <border>
        <left style="thin">
          <color theme="5" tint="0.79998168889431442"/>
        </left>
        <right style="thin">
          <color theme="5" tint="0.79998168889431442"/>
        </right>
      </border>
    </dxf>
    <dxf>
      <fill>
        <patternFill>
          <bgColor theme="8" tint="0.79998168889431442"/>
        </patternFill>
      </fill>
    </dxf>
    <dxf>
      <fill>
        <patternFill>
          <bgColor rgb="FF82F6A9"/>
        </patternFill>
      </fill>
    </dxf>
    <dxf>
      <fill>
        <patternFill>
          <bgColor theme="9" tint="0.39994506668294322"/>
        </patternFill>
      </fill>
    </dxf>
    <dxf>
      <fill>
        <patternFill>
          <bgColor theme="9" tint="0.59996337778862885"/>
        </patternFill>
      </fill>
    </dxf>
    <dxf>
      <fill>
        <patternFill>
          <bgColor rgb="FFFF9E8B"/>
        </patternFill>
      </fill>
      <border>
        <left style="thin">
          <color theme="5"/>
        </left>
        <right style="thin">
          <color theme="5"/>
        </right>
        <vertical/>
        <horizontal/>
      </border>
    </dxf>
    <dxf>
      <fill>
        <patternFill>
          <bgColor theme="5" tint="0.39994506668294322"/>
        </patternFill>
      </fill>
      <border>
        <left style="thin">
          <color theme="5" tint="0.39994506668294322"/>
        </left>
        <right style="thin">
          <color theme="5" tint="0.39994506668294322"/>
        </right>
      </border>
    </dxf>
    <dxf>
      <fill>
        <patternFill>
          <bgColor theme="5" tint="0.59996337778862885"/>
        </patternFill>
      </fill>
      <border>
        <left style="thin">
          <color theme="5" tint="0.59996337778862885"/>
        </left>
        <right style="thin">
          <color theme="5" tint="0.59996337778862885"/>
        </right>
      </border>
    </dxf>
    <dxf>
      <fill>
        <patternFill>
          <bgColor theme="5" tint="0.79998168889431442"/>
        </patternFill>
      </fill>
      <border>
        <left style="thin">
          <color theme="5" tint="0.79998168889431442"/>
        </left>
        <right style="thin">
          <color theme="5" tint="0.79998168889431442"/>
        </right>
      </border>
    </dxf>
    <dxf>
      <font>
        <color auto="1"/>
      </font>
      <fill>
        <patternFill>
          <bgColor rgb="FFADF1EE"/>
        </patternFill>
      </fill>
      <border>
        <left style="thin">
          <color theme="5" tint="0.59996337778862885"/>
        </left>
        <right style="thin">
          <color theme="5" tint="0.59996337778862885"/>
        </right>
      </border>
    </dxf>
    <dxf>
      <font>
        <color auto="1"/>
      </font>
      <fill>
        <patternFill>
          <bgColor rgb="FF99DBD9"/>
        </patternFill>
      </fill>
      <border>
        <left style="thin">
          <color theme="5" tint="0.79998168889431442"/>
        </left>
        <right style="thin">
          <color theme="5" tint="0.79998168889431442"/>
        </right>
      </border>
    </dxf>
    <dxf>
      <fill>
        <patternFill patternType="solid">
          <fgColor theme="6" tint="0.79998168889431442"/>
          <bgColor theme="6" tint="0.79998168889431442"/>
        </patternFill>
      </fill>
    </dxf>
    <dxf>
      <fill>
        <patternFill patternType="solid">
          <fgColor theme="6" tint="0.79992065187536243"/>
          <bgColor theme="0" tint="-4.9989318521683403E-2"/>
        </patternFill>
      </fill>
    </dxf>
    <dxf>
      <font>
        <b/>
        <color theme="6" tint="-0.249977111117893"/>
      </font>
    </dxf>
    <dxf>
      <font>
        <b/>
        <color theme="6" tint="-0.249977111117893"/>
      </font>
    </dxf>
    <dxf>
      <font>
        <b/>
        <color theme="6" tint="-0.249977111117893"/>
      </font>
      <border>
        <top style="thin">
          <color theme="6"/>
        </top>
      </border>
    </dxf>
    <dxf>
      <font>
        <b val="0"/>
        <i val="0"/>
        <color theme="6" tint="-0.249977111117893"/>
      </font>
      <fill>
        <patternFill>
          <bgColor theme="5"/>
        </patternFill>
      </fill>
      <border diagonalUp="0" diagonalDown="0">
        <left/>
        <right/>
        <top/>
        <bottom/>
        <vertical/>
        <horizontal/>
      </border>
    </dxf>
    <dxf>
      <font>
        <color theme="6" tint="-0.249977111117893"/>
      </font>
      <border diagonalUp="0" diagonalDown="0">
        <left/>
        <right/>
        <top/>
        <bottom style="thin">
          <color theme="5"/>
        </bottom>
        <vertical/>
        <horizontal/>
      </border>
    </dxf>
    <dxf>
      <fill>
        <patternFill patternType="solid">
          <fgColor theme="6" tint="0.79998168889431442"/>
          <bgColor theme="6" tint="0.79998168889431442"/>
        </patternFill>
      </fill>
    </dxf>
    <dxf>
      <fill>
        <patternFill patternType="solid">
          <fgColor theme="6" tint="0.79992065187536243"/>
          <bgColor theme="0" tint="-4.9989318521683403E-2"/>
        </patternFill>
      </fill>
    </dxf>
    <dxf>
      <font>
        <b/>
        <color theme="6" tint="-0.249977111117893"/>
      </font>
    </dxf>
    <dxf>
      <font>
        <b/>
        <color theme="6" tint="-0.249977111117893"/>
      </font>
    </dxf>
    <dxf>
      <font>
        <b/>
        <color theme="6" tint="-0.249977111117893"/>
      </font>
      <border>
        <top style="thin">
          <color theme="6"/>
        </top>
      </border>
    </dxf>
    <dxf>
      <font>
        <b val="0"/>
        <i val="0"/>
        <color theme="6" tint="-0.249977111117893"/>
      </font>
      <fill>
        <patternFill>
          <bgColor theme="5"/>
        </patternFill>
      </fill>
      <border diagonalUp="0" diagonalDown="0">
        <left/>
        <right/>
        <top/>
        <bottom/>
        <vertical/>
        <horizontal/>
      </border>
    </dxf>
    <dxf>
      <font>
        <color theme="6" tint="-0.249977111117893"/>
      </font>
      <border diagonalUp="0" diagonalDown="0">
        <left/>
        <right/>
        <top/>
        <bottom style="thin">
          <color theme="5"/>
        </bottom>
        <vertical/>
        <horizontal/>
      </border>
    </dxf>
  </dxfs>
  <tableStyles count="2" defaultTableStyle="TableStyleMedium2" defaultPivotStyle="PivotStyleLight16">
    <tableStyle name="Job Candidates Tracker 1" pivot="0" count="7" xr9:uid="{2543BD1B-22C2-4C41-905B-D463CB1ABD46}">
      <tableStyleElement type="wholeTable" dxfId="104"/>
      <tableStyleElement type="headerRow" dxfId="103"/>
      <tableStyleElement type="totalRow" dxfId="102"/>
      <tableStyleElement type="firstColumn" dxfId="101"/>
      <tableStyleElement type="lastColumn" dxfId="100"/>
      <tableStyleElement type="firstRowStripe" dxfId="99"/>
      <tableStyleElement type="firstColumnStripe" dxfId="98"/>
    </tableStyle>
    <tableStyle name="Job Candidates Tracker 1 2" pivot="0" count="7" xr9:uid="{82F0F30E-1169-4C56-96F5-7425A5C76FAE}">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Automation Benefits vs Ease of Implementation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tx>
            <c:strRef>
              <c:f>'Our Recommendation'!$C$23</c:f>
              <c:strCache>
                <c:ptCount val="1"/>
                <c:pt idx="0">
                  <c:v>0</c:v>
                </c:pt>
              </c:strCache>
            </c:strRef>
          </c:tx>
          <c:spPr>
            <a:ln w="25400" cap="rnd">
              <a:noFill/>
              <a:round/>
            </a:ln>
            <a:effectLst/>
          </c:spPr>
          <c:marker>
            <c:symbol val="circle"/>
            <c:size val="6"/>
            <c:spPr>
              <a:gradFill rotWithShape="1">
                <a:gsLst>
                  <a:gs pos="0">
                    <a:schemeClr val="accent1">
                      <a:tint val="97000"/>
                      <a:satMod val="115000"/>
                      <a:lumMod val="114000"/>
                    </a:schemeClr>
                  </a:gs>
                  <a:gs pos="60000">
                    <a:schemeClr val="accent1">
                      <a:tint val="100000"/>
                      <a:shade val="96000"/>
                      <a:satMod val="100000"/>
                      <a:lumMod val="108000"/>
                    </a:schemeClr>
                  </a:gs>
                  <a:gs pos="100000">
                    <a:schemeClr val="accent1">
                      <a:shade val="91000"/>
                      <a:satMod val="100000"/>
                    </a:schemeClr>
                  </a:gs>
                </a:gsLst>
                <a:lin ang="5400000" scaled="0"/>
              </a:gradFill>
              <a:ln w="9525" cap="rnd">
                <a:solidFill>
                  <a:schemeClr val="accent1"/>
                </a:solidFill>
                <a:round/>
              </a:ln>
              <a:effectLst/>
              <a:scene3d>
                <a:camera prst="orthographicFront">
                  <a:rot lat="0" lon="0" rev="0"/>
                </a:camera>
                <a:lightRig rig="threePt" dir="t">
                  <a:rot lat="0" lon="0" rev="4800000"/>
                </a:lightRig>
              </a:scene3d>
              <a:sp3d>
                <a:bevelT w="50800" h="254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xVal>
            <c:numRef>
              <c:f>'Our Recommendation'!$D$23</c:f>
              <c:numCache>
                <c:formatCode>General</c:formatCode>
                <c:ptCount val="1"/>
              </c:numCache>
            </c:numRef>
          </c:xVal>
          <c:yVal>
            <c:numRef>
              <c:f>'Our Recommendation'!$E$23</c:f>
              <c:numCache>
                <c:formatCode>General</c:formatCode>
                <c:ptCount val="1"/>
              </c:numCache>
            </c:numRef>
          </c:yVal>
          <c:smooth val="0"/>
          <c:extLst>
            <c:ext xmlns:c16="http://schemas.microsoft.com/office/drawing/2014/chart" uri="{C3380CC4-5D6E-409C-BE32-E72D297353CC}">
              <c16:uniqueId val="{00000000-8AE4-4774-B025-BAFEC2F6245F}"/>
            </c:ext>
          </c:extLst>
        </c:ser>
        <c:ser>
          <c:idx val="1"/>
          <c:order val="1"/>
          <c:tx>
            <c:strRef>
              <c:f>[1]Configurations!$A$31:$A$32</c:f>
              <c:strCache>
                <c:ptCount val="1"/>
                <c:pt idx="0">
                  <c:v>x - Benefits</c:v>
                </c:pt>
              </c:strCache>
            </c:strRef>
          </c:tx>
          <c:spPr>
            <a:ln w="25400" cap="rnd">
              <a:solidFill>
                <a:schemeClr val="accent2"/>
              </a:solidFill>
              <a:round/>
            </a:ln>
            <a:effectLst/>
          </c:spPr>
          <c:marker>
            <c:symbol val="none"/>
          </c:marker>
          <c:xVal>
            <c:numRef>
              <c:f>[1]Configurations!$B$31:$B$32</c:f>
              <c:numCache>
                <c:formatCode>General</c:formatCode>
                <c:ptCount val="2"/>
                <c:pt idx="0">
                  <c:v>0</c:v>
                </c:pt>
                <c:pt idx="1">
                  <c:v>4</c:v>
                </c:pt>
              </c:numCache>
            </c:numRef>
          </c:xVal>
          <c:yVal>
            <c:numRef>
              <c:f>[1]Configurations!$C$31:$C$32</c:f>
              <c:numCache>
                <c:formatCode>General</c:formatCode>
                <c:ptCount val="2"/>
                <c:pt idx="0">
                  <c:v>2</c:v>
                </c:pt>
                <c:pt idx="1">
                  <c:v>2</c:v>
                </c:pt>
              </c:numCache>
            </c:numRef>
          </c:yVal>
          <c:smooth val="0"/>
          <c:extLst>
            <c:ext xmlns:c16="http://schemas.microsoft.com/office/drawing/2014/chart" uri="{C3380CC4-5D6E-409C-BE32-E72D297353CC}">
              <c16:uniqueId val="{00000001-8AE4-4774-B025-BAFEC2F6245F}"/>
            </c:ext>
          </c:extLst>
        </c:ser>
        <c:ser>
          <c:idx val="2"/>
          <c:order val="2"/>
          <c:tx>
            <c:strRef>
              <c:f>[1]Configurations!$A$34</c:f>
              <c:strCache>
                <c:ptCount val="1"/>
                <c:pt idx="0">
                  <c:v>y - Ease</c:v>
                </c:pt>
              </c:strCache>
            </c:strRef>
          </c:tx>
          <c:spPr>
            <a:ln w="25400" cap="rnd">
              <a:solidFill>
                <a:schemeClr val="accent2"/>
              </a:solidFill>
              <a:round/>
            </a:ln>
            <a:effectLst/>
          </c:spPr>
          <c:marker>
            <c:symbol val="none"/>
          </c:marker>
          <c:xVal>
            <c:numRef>
              <c:f>[1]Configurations!$B$34:$B$35</c:f>
              <c:numCache>
                <c:formatCode>General</c:formatCode>
                <c:ptCount val="2"/>
                <c:pt idx="0">
                  <c:v>2</c:v>
                </c:pt>
                <c:pt idx="1">
                  <c:v>2</c:v>
                </c:pt>
              </c:numCache>
            </c:numRef>
          </c:xVal>
          <c:yVal>
            <c:numRef>
              <c:f>[1]Configurations!$C$34:$C$35</c:f>
              <c:numCache>
                <c:formatCode>General</c:formatCode>
                <c:ptCount val="2"/>
                <c:pt idx="0">
                  <c:v>0</c:v>
                </c:pt>
                <c:pt idx="1">
                  <c:v>4</c:v>
                </c:pt>
              </c:numCache>
            </c:numRef>
          </c:yVal>
          <c:smooth val="0"/>
          <c:extLst>
            <c:ext xmlns:c16="http://schemas.microsoft.com/office/drawing/2014/chart" uri="{C3380CC4-5D6E-409C-BE32-E72D297353CC}">
              <c16:uniqueId val="{00000002-8AE4-4774-B025-BAFEC2F6245F}"/>
            </c:ext>
          </c:extLst>
        </c:ser>
        <c:dLbls>
          <c:showLegendKey val="0"/>
          <c:showVal val="0"/>
          <c:showCatName val="0"/>
          <c:showSerName val="0"/>
          <c:showPercent val="0"/>
          <c:showBubbleSize val="0"/>
        </c:dLbls>
        <c:axId val="445496368"/>
        <c:axId val="585343088"/>
      </c:scatterChart>
      <c:valAx>
        <c:axId val="445496368"/>
        <c:scaling>
          <c:orientation val="minMax"/>
          <c:max val="4"/>
          <c:min val="0"/>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cap="all" baseline="0">
                    <a:solidFill>
                      <a:sysClr val="window" lastClr="FFFFFF">
                        <a:lumMod val="75000"/>
                      </a:sysClr>
                    </a:solidFill>
                    <a:latin typeface="+mn-lt"/>
                    <a:ea typeface="+mn-ea"/>
                    <a:cs typeface="+mn-cs"/>
                  </a:defRPr>
                </a:pPr>
                <a:r>
                  <a:rPr lang="en-US" sz="1100" b="1" i="0" cap="all" baseline="0">
                    <a:effectLst/>
                  </a:rPr>
                  <a:t>Automation Benefits </a:t>
                </a:r>
              </a:p>
              <a:p>
                <a:pPr marL="0" marR="0" lvl="0" indent="0" algn="ctr" defTabSz="914400" rtl="0" eaLnBrk="1" fontAlgn="auto" latinLnBrk="0" hangingPunct="1">
                  <a:lnSpc>
                    <a:spcPct val="100000"/>
                  </a:lnSpc>
                  <a:spcBef>
                    <a:spcPts val="0"/>
                  </a:spcBef>
                  <a:spcAft>
                    <a:spcPts val="0"/>
                  </a:spcAft>
                  <a:buClrTx/>
                  <a:buSzTx/>
                  <a:buFontTx/>
                  <a:buNone/>
                  <a:tabLst/>
                  <a:defRPr sz="1100">
                    <a:solidFill>
                      <a:sysClr val="window" lastClr="FFFFFF">
                        <a:lumMod val="75000"/>
                      </a:sysClr>
                    </a:solidFill>
                  </a:defRPr>
                </a:pPr>
                <a:r>
                  <a:rPr lang="en-US" sz="1100" b="1" i="0" cap="all" baseline="0">
                    <a:effectLst/>
                  </a:rPr>
                  <a:t>1- Less, 4- More</a:t>
                </a:r>
                <a:endParaRPr lang="en-GB"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cap="all" baseline="0">
                  <a:solidFill>
                    <a:sysClr val="window" lastClr="FFFFFF">
                      <a:lumMod val="7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5343088"/>
        <c:crosses val="autoZero"/>
        <c:crossBetween val="midCat"/>
        <c:majorUnit val="0.5"/>
      </c:valAx>
      <c:valAx>
        <c:axId val="585343088"/>
        <c:scaling>
          <c:orientation val="minMax"/>
          <c:max val="4"/>
          <c:min val="0"/>
        </c:scaling>
        <c:delete val="0"/>
        <c:axPos val="l"/>
        <c:title>
          <c:tx>
            <c:rich>
              <a:bodyPr rot="-5400000" spcFirstLastPara="1" vertOverflow="ellipsis" vert="horz" wrap="square" anchor="ctr" anchorCtr="1"/>
              <a:lstStyle/>
              <a:p>
                <a:pPr>
                  <a:defRPr sz="1100" b="1" i="0" u="none" strike="noStrike" kern="1200" cap="all" baseline="0">
                    <a:solidFill>
                      <a:schemeClr val="lt1">
                        <a:lumMod val="75000"/>
                      </a:schemeClr>
                    </a:solidFill>
                    <a:latin typeface="+mn-lt"/>
                    <a:ea typeface="+mn-ea"/>
                    <a:cs typeface="+mn-cs"/>
                  </a:defRPr>
                </a:pPr>
                <a:r>
                  <a:rPr lang="en-GB" sz="1100" b="1" i="0" cap="all" baseline="0">
                    <a:effectLst/>
                  </a:rPr>
                  <a:t>Ease of Implementation</a:t>
                </a:r>
              </a:p>
              <a:p>
                <a:pPr>
                  <a:defRPr sz="1100"/>
                </a:pPr>
                <a:r>
                  <a:rPr lang="en-GB" sz="1100" b="1" i="0" cap="all" baseline="0">
                    <a:effectLst/>
                  </a:rPr>
                  <a:t>1- More Difficult, 4- Less Difficult</a:t>
                </a:r>
                <a:endParaRPr lang="en-GB" sz="1100">
                  <a:effectLst/>
                </a:endParaRPr>
              </a:p>
            </c:rich>
          </c:tx>
          <c:overlay val="0"/>
          <c:spPr>
            <a:noFill/>
            <a:ln>
              <a:noFill/>
            </a:ln>
            <a:effectLst/>
          </c:spPr>
          <c:txPr>
            <a:bodyPr rot="-5400000" spcFirstLastPara="1" vertOverflow="ellipsis" vert="horz" wrap="square" anchor="ctr" anchorCtr="1"/>
            <a:lstStyle/>
            <a:p>
              <a:pPr>
                <a:defRPr sz="1100" b="1" i="0" u="none" strike="noStrike" kern="1200" cap="all" baseline="0">
                  <a:solidFill>
                    <a:schemeClr val="lt1">
                      <a:lumMod val="75000"/>
                    </a:schemeClr>
                  </a:solidFill>
                  <a:latin typeface="+mn-lt"/>
                  <a:ea typeface="+mn-ea"/>
                  <a:cs typeface="+mn-cs"/>
                </a:defRPr>
              </a:pPr>
              <a:endParaRPr lang="en-US"/>
            </a:p>
          </c:txPr>
        </c:title>
        <c:numFmt formatCode="@" sourceLinked="0"/>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96368"/>
        <c:crosses val="autoZero"/>
        <c:crossBetween val="midCat"/>
        <c:majorUnit val="0.5"/>
      </c:valAx>
      <c:spPr>
        <a:noFill/>
        <a:ln>
          <a:solidFill>
            <a:schemeClr val="accent2"/>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19052</xdr:colOff>
      <xdr:row>0</xdr:row>
      <xdr:rowOff>76199</xdr:rowOff>
    </xdr:from>
    <xdr:to>
      <xdr:col>5</xdr:col>
      <xdr:colOff>79575</xdr:colOff>
      <xdr:row>1</xdr:row>
      <xdr:rowOff>1057274</xdr:rowOff>
    </xdr:to>
    <xdr:pic>
      <xdr:nvPicPr>
        <xdr:cNvPr id="2" name="Picture 1" descr="Abstract header in green" title="Header Image 2">
          <a:extLst>
            <a:ext uri="{FF2B5EF4-FFF2-40B4-BE49-F238E27FC236}">
              <a16:creationId xmlns:a16="http://schemas.microsoft.com/office/drawing/2014/main" id="{9C357710-95E2-4E45-A0EB-922B382BAE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2" y="76199"/>
          <a:ext cx="10149403" cy="1095375"/>
        </a:xfrm>
        <a:prstGeom prst="rect">
          <a:avLst/>
        </a:prstGeom>
      </xdr:spPr>
    </xdr:pic>
    <xdr:clientData/>
  </xdr:twoCellAnchor>
  <xdr:twoCellAnchor>
    <xdr:from>
      <xdr:col>0</xdr:col>
      <xdr:colOff>0</xdr:colOff>
      <xdr:row>1</xdr:row>
      <xdr:rowOff>95251</xdr:rowOff>
    </xdr:from>
    <xdr:to>
      <xdr:col>1</xdr:col>
      <xdr:colOff>2543174</xdr:colOff>
      <xdr:row>1</xdr:row>
      <xdr:rowOff>857251</xdr:rowOff>
    </xdr:to>
    <xdr:sp macro="" textlink="">
      <xdr:nvSpPr>
        <xdr:cNvPr id="3" name="TextBox 2" descr="Job Candidates">
          <a:extLst>
            <a:ext uri="{FF2B5EF4-FFF2-40B4-BE49-F238E27FC236}">
              <a16:creationId xmlns:a16="http://schemas.microsoft.com/office/drawing/2014/main" id="{D4CBFC69-70BA-4495-9028-5A0A3A499098}"/>
            </a:ext>
          </a:extLst>
        </xdr:cNvPr>
        <xdr:cNvSpPr txBox="1"/>
      </xdr:nvSpPr>
      <xdr:spPr>
        <a:xfrm>
          <a:off x="0" y="209551"/>
          <a:ext cx="2687954"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tx1">
                  <a:lumMod val="85000"/>
                  <a:lumOff val="15000"/>
                </a:schemeClr>
              </a:solidFill>
              <a:latin typeface="+mj-lt"/>
              <a:ea typeface="Verdana" panose="020B0604030504040204" pitchFamily="34" charset="0"/>
            </a:rPr>
            <a:t>Introduction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19052</xdr:colOff>
      <xdr:row>0</xdr:row>
      <xdr:rowOff>76199</xdr:rowOff>
    </xdr:from>
    <xdr:to>
      <xdr:col>3</xdr:col>
      <xdr:colOff>1820</xdr:colOff>
      <xdr:row>1</xdr:row>
      <xdr:rowOff>1057274</xdr:rowOff>
    </xdr:to>
    <xdr:pic>
      <xdr:nvPicPr>
        <xdr:cNvPr id="2" name="Picture 1" descr="Abstract header in green" title="Header Image 2">
          <a:extLst>
            <a:ext uri="{FF2B5EF4-FFF2-40B4-BE49-F238E27FC236}">
              <a16:creationId xmlns:a16="http://schemas.microsoft.com/office/drawing/2014/main" id="{DCFFD68D-BFD5-4F56-8476-D7E98459376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2" y="76199"/>
          <a:ext cx="10155468" cy="1095375"/>
        </a:xfrm>
        <a:prstGeom prst="rect">
          <a:avLst/>
        </a:prstGeom>
      </xdr:spPr>
    </xdr:pic>
    <xdr:clientData/>
  </xdr:twoCellAnchor>
  <xdr:twoCellAnchor>
    <xdr:from>
      <xdr:col>0</xdr:col>
      <xdr:colOff>0</xdr:colOff>
      <xdr:row>1</xdr:row>
      <xdr:rowOff>95251</xdr:rowOff>
    </xdr:from>
    <xdr:to>
      <xdr:col>1</xdr:col>
      <xdr:colOff>2543174</xdr:colOff>
      <xdr:row>1</xdr:row>
      <xdr:rowOff>857251</xdr:rowOff>
    </xdr:to>
    <xdr:sp macro="" textlink="">
      <xdr:nvSpPr>
        <xdr:cNvPr id="3" name="TextBox 2" descr="Job Candidates">
          <a:extLst>
            <a:ext uri="{FF2B5EF4-FFF2-40B4-BE49-F238E27FC236}">
              <a16:creationId xmlns:a16="http://schemas.microsoft.com/office/drawing/2014/main" id="{DC61F566-ABD1-4826-BC4B-7AAC7E8859FD}"/>
            </a:ext>
          </a:extLst>
        </xdr:cNvPr>
        <xdr:cNvSpPr txBox="1"/>
      </xdr:nvSpPr>
      <xdr:spPr>
        <a:xfrm>
          <a:off x="0" y="209551"/>
          <a:ext cx="3015614"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tx1">
                  <a:lumMod val="85000"/>
                  <a:lumOff val="15000"/>
                </a:schemeClr>
              </a:solidFill>
              <a:latin typeface="+mj-lt"/>
              <a:ea typeface="Verdana" panose="020B0604030504040204" pitchFamily="34" charset="0"/>
            </a:rPr>
            <a:t>Process Profile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61851</xdr:colOff>
      <xdr:row>0</xdr:row>
      <xdr:rowOff>98961</xdr:rowOff>
    </xdr:from>
    <xdr:to>
      <xdr:col>19</xdr:col>
      <xdr:colOff>338722</xdr:colOff>
      <xdr:row>2</xdr:row>
      <xdr:rowOff>1</xdr:rowOff>
    </xdr:to>
    <xdr:pic>
      <xdr:nvPicPr>
        <xdr:cNvPr id="2" name="Picture 1" descr="Abstract header in green" title="Header Image 2">
          <a:extLst>
            <a:ext uri="{FF2B5EF4-FFF2-40B4-BE49-F238E27FC236}">
              <a16:creationId xmlns:a16="http://schemas.microsoft.com/office/drawing/2014/main" id="{2ED29ECB-D95F-4BF7-8A18-51272525C4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851" y="98961"/>
          <a:ext cx="13550911" cy="1103911"/>
        </a:xfrm>
        <a:prstGeom prst="rect">
          <a:avLst/>
        </a:prstGeom>
      </xdr:spPr>
    </xdr:pic>
    <xdr:clientData/>
  </xdr:twoCellAnchor>
  <xdr:twoCellAnchor>
    <xdr:from>
      <xdr:col>1</xdr:col>
      <xdr:colOff>1</xdr:colOff>
      <xdr:row>0</xdr:row>
      <xdr:rowOff>114299</xdr:rowOff>
    </xdr:from>
    <xdr:to>
      <xdr:col>3</xdr:col>
      <xdr:colOff>1143000</xdr:colOff>
      <xdr:row>1</xdr:row>
      <xdr:rowOff>1095374</xdr:rowOff>
    </xdr:to>
    <xdr:sp macro="" textlink="">
      <xdr:nvSpPr>
        <xdr:cNvPr id="3" name="TextBox 2" descr="Job Openings">
          <a:extLst>
            <a:ext uri="{FF2B5EF4-FFF2-40B4-BE49-F238E27FC236}">
              <a16:creationId xmlns:a16="http://schemas.microsoft.com/office/drawing/2014/main" id="{084806AF-5BFF-45D8-81B1-83D4FBDEA055}"/>
            </a:ext>
          </a:extLst>
        </xdr:cNvPr>
        <xdr:cNvSpPr txBox="1"/>
      </xdr:nvSpPr>
      <xdr:spPr>
        <a:xfrm>
          <a:off x="114301" y="114299"/>
          <a:ext cx="3360419" cy="1087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tx1">
                  <a:lumMod val="85000"/>
                  <a:lumOff val="15000"/>
                </a:schemeClr>
              </a:solidFill>
              <a:latin typeface="+mj-lt"/>
            </a:rPr>
            <a:t> Process Details</a:t>
          </a:r>
        </a:p>
      </xdr:txBody>
    </xdr:sp>
    <xdr:clientData/>
  </xdr:twoCellAnchor>
  <xdr:twoCellAnchor editAs="absolute">
    <xdr:from>
      <xdr:col>19</xdr:col>
      <xdr:colOff>553115</xdr:colOff>
      <xdr:row>1</xdr:row>
      <xdr:rowOff>320996</xdr:rowOff>
    </xdr:from>
    <xdr:to>
      <xdr:col>22</xdr:col>
      <xdr:colOff>310395</xdr:colOff>
      <xdr:row>3</xdr:row>
      <xdr:rowOff>446276</xdr:rowOff>
    </xdr:to>
    <mc:AlternateContent xmlns:mc="http://schemas.openxmlformats.org/markup-compatibility/2006" xmlns:sle15="http://schemas.microsoft.com/office/drawing/2012/slicer">
      <mc:Choice Requires="sle15">
        <xdr:graphicFrame macro="">
          <xdr:nvGraphicFramePr>
            <xdr:cNvPr id="4" name="Area">
              <a:extLst>
                <a:ext uri="{FF2B5EF4-FFF2-40B4-BE49-F238E27FC236}">
                  <a16:creationId xmlns:a16="http://schemas.microsoft.com/office/drawing/2014/main" id="{BF7B3620-AF80-43BF-B577-B7B15E00A73E}"/>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13833686" y="438227"/>
              <a:ext cx="1817193" cy="128921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21403</xdr:colOff>
      <xdr:row>0</xdr:row>
      <xdr:rowOff>117723</xdr:rowOff>
    </xdr:from>
    <xdr:to>
      <xdr:col>19</xdr:col>
      <xdr:colOff>11192</xdr:colOff>
      <xdr:row>2</xdr:row>
      <xdr:rowOff>221</xdr:rowOff>
    </xdr:to>
    <xdr:pic>
      <xdr:nvPicPr>
        <xdr:cNvPr id="2" name="Picture 1" descr="Abstract header in green" title="Header Image 2">
          <a:extLst>
            <a:ext uri="{FF2B5EF4-FFF2-40B4-BE49-F238E27FC236}">
              <a16:creationId xmlns:a16="http://schemas.microsoft.com/office/drawing/2014/main" id="{F06CE598-5914-4363-9937-BBF1F7E857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5703" y="117723"/>
          <a:ext cx="18056809" cy="1086458"/>
        </a:xfrm>
        <a:prstGeom prst="rect">
          <a:avLst/>
        </a:prstGeom>
      </xdr:spPr>
    </xdr:pic>
    <xdr:clientData/>
  </xdr:twoCellAnchor>
  <xdr:twoCellAnchor>
    <xdr:from>
      <xdr:col>0</xdr:col>
      <xdr:colOff>64213</xdr:colOff>
      <xdr:row>0</xdr:row>
      <xdr:rowOff>99933</xdr:rowOff>
    </xdr:from>
    <xdr:to>
      <xdr:col>4</xdr:col>
      <xdr:colOff>385281</xdr:colOff>
      <xdr:row>2</xdr:row>
      <xdr:rowOff>11906</xdr:rowOff>
    </xdr:to>
    <xdr:sp macro="" textlink="">
      <xdr:nvSpPr>
        <xdr:cNvPr id="3" name="TextBox 2" descr="Interviewers">
          <a:extLst>
            <a:ext uri="{FF2B5EF4-FFF2-40B4-BE49-F238E27FC236}">
              <a16:creationId xmlns:a16="http://schemas.microsoft.com/office/drawing/2014/main" id="{4071C529-6D95-471B-8A93-D4A750C00567}"/>
            </a:ext>
          </a:extLst>
        </xdr:cNvPr>
        <xdr:cNvSpPr txBox="1"/>
      </xdr:nvSpPr>
      <xdr:spPr>
        <a:xfrm>
          <a:off x="64213" y="99933"/>
          <a:ext cx="4466348" cy="1115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tx1">
                  <a:lumMod val="85000"/>
                  <a:lumOff val="15000"/>
                </a:schemeClr>
              </a:solidFill>
              <a:latin typeface="+mj-lt"/>
            </a:rPr>
            <a:t> Our Recommendation</a:t>
          </a:r>
        </a:p>
      </xdr:txBody>
    </xdr:sp>
    <xdr:clientData/>
  </xdr:twoCellAnchor>
  <xdr:twoCellAnchor>
    <xdr:from>
      <xdr:col>5</xdr:col>
      <xdr:colOff>885746</xdr:colOff>
      <xdr:row>1</xdr:row>
      <xdr:rowOff>558389</xdr:rowOff>
    </xdr:from>
    <xdr:to>
      <xdr:col>7</xdr:col>
      <xdr:colOff>2059086</xdr:colOff>
      <xdr:row>1</xdr:row>
      <xdr:rowOff>975108</xdr:rowOff>
    </xdr:to>
    <xdr:sp macro="[0]!Assessment" textlink="">
      <xdr:nvSpPr>
        <xdr:cNvPr id="4" name="Rectangle: Rounded Corners 3">
          <a:extLst>
            <a:ext uri="{FF2B5EF4-FFF2-40B4-BE49-F238E27FC236}">
              <a16:creationId xmlns:a16="http://schemas.microsoft.com/office/drawing/2014/main" id="{B3C21AF6-B3DC-457E-B35B-C6FC2EAFB855}"/>
            </a:ext>
          </a:extLst>
        </xdr:cNvPr>
        <xdr:cNvSpPr/>
      </xdr:nvSpPr>
      <xdr:spPr>
        <a:xfrm>
          <a:off x="6981746" y="672689"/>
          <a:ext cx="2743060" cy="416719"/>
        </a:xfrm>
        <a:prstGeom prst="roundRect">
          <a:avLst/>
        </a:prstGeom>
        <a:gradFill>
          <a:gsLst>
            <a:gs pos="0">
              <a:srgbClr val="BBE7E6"/>
            </a:gs>
            <a:gs pos="40000">
              <a:schemeClr val="accent1">
                <a:lumMod val="20000"/>
                <a:lumOff val="80000"/>
              </a:schemeClr>
            </a:gs>
            <a:gs pos="70000">
              <a:srgbClr val="86D4D2"/>
            </a:gs>
            <a:gs pos="100000">
              <a:srgbClr val="64C8C6"/>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rgbClr val="FF785D"/>
              </a:solidFill>
            </a:rPr>
            <a:t>CLICK</a:t>
          </a:r>
          <a:r>
            <a:rPr lang="en-GB" sz="1600" b="1" baseline="0">
              <a:solidFill>
                <a:srgbClr val="FF785D"/>
              </a:solidFill>
            </a:rPr>
            <a:t> TO ASSESS</a:t>
          </a:r>
          <a:endParaRPr lang="en-GB" sz="1600" b="1">
            <a:solidFill>
              <a:srgbClr val="FF785D"/>
            </a:solidFill>
          </a:endParaRPr>
        </a:p>
      </xdr:txBody>
    </xdr:sp>
    <xdr:clientData/>
  </xdr:twoCellAnchor>
  <xdr:twoCellAnchor>
    <xdr:from>
      <xdr:col>9</xdr:col>
      <xdr:colOff>95166</xdr:colOff>
      <xdr:row>3</xdr:row>
      <xdr:rowOff>101136</xdr:rowOff>
    </xdr:from>
    <xdr:to>
      <xdr:col>15</xdr:col>
      <xdr:colOff>532913</xdr:colOff>
      <xdr:row>19</xdr:row>
      <xdr:rowOff>0</xdr:rowOff>
    </xdr:to>
    <xdr:graphicFrame macro="">
      <xdr:nvGraphicFramePr>
        <xdr:cNvPr id="5" name="Chart 4" descr="Ease of Automation">
          <a:extLst>
            <a:ext uri="{FF2B5EF4-FFF2-40B4-BE49-F238E27FC236}">
              <a16:creationId xmlns:a16="http://schemas.microsoft.com/office/drawing/2014/main" id="{EEB2CBA1-2DDB-4CCF-BBF7-ABBF01D78C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166599</xdr:colOff>
      <xdr:row>15</xdr:row>
      <xdr:rowOff>2927</xdr:rowOff>
    </xdr:from>
    <xdr:to>
      <xdr:col>15</xdr:col>
      <xdr:colOff>559442</xdr:colOff>
      <xdr:row>16</xdr:row>
      <xdr:rowOff>127716</xdr:rowOff>
    </xdr:to>
    <xdr:sp macro="" textlink="">
      <xdr:nvSpPr>
        <xdr:cNvPr id="6" name="Rectangle 5">
          <a:extLst>
            <a:ext uri="{FF2B5EF4-FFF2-40B4-BE49-F238E27FC236}">
              <a16:creationId xmlns:a16="http://schemas.microsoft.com/office/drawing/2014/main" id="{4417305B-B702-4C58-A7AC-C9B268763EC8}"/>
            </a:ext>
          </a:extLst>
        </xdr:cNvPr>
        <xdr:cNvSpPr/>
      </xdr:nvSpPr>
      <xdr:spPr>
        <a:xfrm>
          <a:off x="14233119" y="4468247"/>
          <a:ext cx="1764443" cy="30004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accent6">
                  <a:lumMod val="40000"/>
                  <a:lumOff val="60000"/>
                </a:schemeClr>
              </a:solidFill>
            </a:rPr>
            <a:t>Medium Recommended</a:t>
          </a:r>
        </a:p>
      </xdr:txBody>
    </xdr:sp>
    <xdr:clientData/>
  </xdr:twoCellAnchor>
  <xdr:twoCellAnchor>
    <xdr:from>
      <xdr:col>10</xdr:col>
      <xdr:colOff>651412</xdr:colOff>
      <xdr:row>11</xdr:row>
      <xdr:rowOff>28683</xdr:rowOff>
    </xdr:from>
    <xdr:to>
      <xdr:col>13</xdr:col>
      <xdr:colOff>191893</xdr:colOff>
      <xdr:row>11</xdr:row>
      <xdr:rowOff>341760</xdr:rowOff>
    </xdr:to>
    <xdr:sp macro="" textlink="">
      <xdr:nvSpPr>
        <xdr:cNvPr id="7" name="Rectangle 6">
          <a:extLst>
            <a:ext uri="{FF2B5EF4-FFF2-40B4-BE49-F238E27FC236}">
              <a16:creationId xmlns:a16="http://schemas.microsoft.com/office/drawing/2014/main" id="{5D5A888C-47AF-4E06-A0CE-D3B1E4A8A244}"/>
            </a:ext>
          </a:extLst>
        </xdr:cNvPr>
        <xdr:cNvSpPr/>
      </xdr:nvSpPr>
      <xdr:spPr>
        <a:xfrm>
          <a:off x="12660532" y="3114783"/>
          <a:ext cx="1597881" cy="31307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accent6">
                  <a:lumMod val="40000"/>
                  <a:lumOff val="60000"/>
                </a:schemeClr>
              </a:solidFill>
            </a:rPr>
            <a:t>Less Recommended</a:t>
          </a:r>
        </a:p>
      </xdr:txBody>
    </xdr:sp>
    <xdr:clientData/>
  </xdr:twoCellAnchor>
  <xdr:twoCellAnchor>
    <xdr:from>
      <xdr:col>13</xdr:col>
      <xdr:colOff>262917</xdr:colOff>
      <xdr:row>11</xdr:row>
      <xdr:rowOff>13625</xdr:rowOff>
    </xdr:from>
    <xdr:to>
      <xdr:col>15</xdr:col>
      <xdr:colOff>655760</xdr:colOff>
      <xdr:row>11</xdr:row>
      <xdr:rowOff>320351</xdr:rowOff>
    </xdr:to>
    <xdr:sp macro="" textlink="">
      <xdr:nvSpPr>
        <xdr:cNvPr id="8" name="Rectangle 7">
          <a:extLst>
            <a:ext uri="{FF2B5EF4-FFF2-40B4-BE49-F238E27FC236}">
              <a16:creationId xmlns:a16="http://schemas.microsoft.com/office/drawing/2014/main" id="{1C726C32-1B08-4DC4-AF96-0947C41C71D6}"/>
            </a:ext>
          </a:extLst>
        </xdr:cNvPr>
        <xdr:cNvSpPr/>
      </xdr:nvSpPr>
      <xdr:spPr>
        <a:xfrm>
          <a:off x="14329437" y="3099725"/>
          <a:ext cx="1764443" cy="3067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accent6">
                  <a:lumMod val="40000"/>
                  <a:lumOff val="60000"/>
                </a:schemeClr>
              </a:solidFill>
            </a:rPr>
            <a:t>Highly Recommended</a:t>
          </a:r>
        </a:p>
      </xdr:txBody>
    </xdr:sp>
    <xdr:clientData/>
  </xdr:twoCellAnchor>
  <xdr:twoCellAnchor>
    <xdr:from>
      <xdr:col>8</xdr:col>
      <xdr:colOff>46558</xdr:colOff>
      <xdr:row>1</xdr:row>
      <xdr:rowOff>573850</xdr:rowOff>
    </xdr:from>
    <xdr:to>
      <xdr:col>11</xdr:col>
      <xdr:colOff>39335</xdr:colOff>
      <xdr:row>1</xdr:row>
      <xdr:rowOff>990569</xdr:rowOff>
    </xdr:to>
    <xdr:sp macro="[0]!ClearContents" textlink="">
      <xdr:nvSpPr>
        <xdr:cNvPr id="9" name="Rectangle: Rounded Corners 8">
          <a:extLst>
            <a:ext uri="{FF2B5EF4-FFF2-40B4-BE49-F238E27FC236}">
              <a16:creationId xmlns:a16="http://schemas.microsoft.com/office/drawing/2014/main" id="{B9F84C7B-C527-49D1-AED5-D1F7207C8DBE}"/>
            </a:ext>
          </a:extLst>
        </xdr:cNvPr>
        <xdr:cNvSpPr/>
      </xdr:nvSpPr>
      <xdr:spPr>
        <a:xfrm>
          <a:off x="9769678" y="688150"/>
          <a:ext cx="2964577" cy="416719"/>
        </a:xfrm>
        <a:prstGeom prst="roundRect">
          <a:avLst/>
        </a:prstGeom>
        <a:gradFill>
          <a:gsLst>
            <a:gs pos="0">
              <a:srgbClr val="BBE7E6"/>
            </a:gs>
            <a:gs pos="40000">
              <a:schemeClr val="accent1">
                <a:lumMod val="20000"/>
                <a:lumOff val="80000"/>
              </a:schemeClr>
            </a:gs>
            <a:gs pos="70000">
              <a:srgbClr val="86D4D2"/>
            </a:gs>
            <a:gs pos="100000">
              <a:srgbClr val="64C8C6"/>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rgbClr val="FF785D"/>
              </a:solidFill>
            </a:rPr>
            <a:t>CLICK</a:t>
          </a:r>
          <a:r>
            <a:rPr lang="en-GB" sz="1600" b="1" baseline="0">
              <a:solidFill>
                <a:srgbClr val="FF785D"/>
              </a:solidFill>
            </a:rPr>
            <a:t> TO CLEAR</a:t>
          </a:r>
          <a:endParaRPr lang="en-GB" sz="1600" b="1">
            <a:solidFill>
              <a:srgbClr val="FF785D"/>
            </a:solidFill>
          </a:endParaRPr>
        </a:p>
      </xdr:txBody>
    </xdr:sp>
    <xdr:clientData/>
  </xdr:twoCellAnchor>
  <xdr:twoCellAnchor>
    <xdr:from>
      <xdr:col>11</xdr:col>
      <xdr:colOff>19978</xdr:colOff>
      <xdr:row>15</xdr:row>
      <xdr:rowOff>17984</xdr:rowOff>
    </xdr:from>
    <xdr:to>
      <xdr:col>13</xdr:col>
      <xdr:colOff>245403</xdr:colOff>
      <xdr:row>16</xdr:row>
      <xdr:rowOff>149123</xdr:rowOff>
    </xdr:to>
    <xdr:sp macro="" textlink="">
      <xdr:nvSpPr>
        <xdr:cNvPr id="10" name="Rectangle 9">
          <a:extLst>
            <a:ext uri="{FF2B5EF4-FFF2-40B4-BE49-F238E27FC236}">
              <a16:creationId xmlns:a16="http://schemas.microsoft.com/office/drawing/2014/main" id="{A80E648F-AA33-4E51-84BD-2CC6504D3ABF}"/>
            </a:ext>
          </a:extLst>
        </xdr:cNvPr>
        <xdr:cNvSpPr/>
      </xdr:nvSpPr>
      <xdr:spPr>
        <a:xfrm>
          <a:off x="12714898" y="4483304"/>
          <a:ext cx="1597025" cy="3063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accent6">
                  <a:lumMod val="40000"/>
                  <a:lumOff val="60000"/>
                </a:schemeClr>
              </a:solidFill>
            </a:rPr>
            <a:t>Not Recommended</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rvija\Desktop\Initiatives\Automation%20Assessment\RPA_Process_Assessment_Questionairre_v2\RPA_Process_Assessment_Questionairre_v2.xlsm" TargetMode="External"/><Relationship Id="rId1" Type="http://schemas.openxmlformats.org/officeDocument/2006/relationships/externalLinkPath" Target="RPA_Process_Assessment_Questionairre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Process Profile"/>
      <sheetName val="Questionaire"/>
      <sheetName val="Our Recommendation"/>
      <sheetName val="Parameters"/>
      <sheetName val="Configurations"/>
    </sheetNames>
    <sheetDataSet>
      <sheetData sheetId="0"/>
      <sheetData sheetId="1"/>
      <sheetData sheetId="2">
        <row r="5">
          <cell r="E5" t="str">
            <v>No</v>
          </cell>
        </row>
        <row r="8">
          <cell r="H8">
            <v>4</v>
          </cell>
          <cell r="J8">
            <v>4</v>
          </cell>
        </row>
        <row r="9">
          <cell r="H9">
            <v>3</v>
          </cell>
          <cell r="J9">
            <v>3</v>
          </cell>
        </row>
        <row r="10">
          <cell r="H10">
            <v>2</v>
          </cell>
          <cell r="J10">
            <v>2</v>
          </cell>
        </row>
        <row r="11">
          <cell r="H11">
            <v>4</v>
          </cell>
          <cell r="J11">
            <v>4</v>
          </cell>
        </row>
        <row r="12">
          <cell r="J12">
            <v>2</v>
          </cell>
        </row>
        <row r="13">
          <cell r="H13">
            <v>2</v>
          </cell>
          <cell r="J13">
            <v>1</v>
          </cell>
        </row>
        <row r="15">
          <cell r="H15">
            <v>1</v>
          </cell>
        </row>
        <row r="16">
          <cell r="H16">
            <v>4</v>
          </cell>
          <cell r="J16">
            <v>1</v>
          </cell>
        </row>
        <row r="18">
          <cell r="H18">
            <v>1</v>
          </cell>
          <cell r="J18">
            <v>3</v>
          </cell>
        </row>
        <row r="19">
          <cell r="J19">
            <v>1</v>
          </cell>
        </row>
        <row r="20">
          <cell r="H20">
            <v>3</v>
          </cell>
          <cell r="J20">
            <v>1</v>
          </cell>
        </row>
        <row r="21">
          <cell r="E21" t="str">
            <v>Daily</v>
          </cell>
          <cell r="H21">
            <v>4</v>
          </cell>
          <cell r="J21">
            <v>4</v>
          </cell>
        </row>
        <row r="22">
          <cell r="J22">
            <v>1</v>
          </cell>
        </row>
        <row r="23">
          <cell r="J23">
            <v>1</v>
          </cell>
        </row>
        <row r="24">
          <cell r="H24">
            <v>3</v>
          </cell>
          <cell r="J24">
            <v>3</v>
          </cell>
        </row>
        <row r="25">
          <cell r="H25">
            <v>1</v>
          </cell>
          <cell r="J25">
            <v>1</v>
          </cell>
        </row>
        <row r="26">
          <cell r="H26">
            <v>1</v>
          </cell>
          <cell r="J26">
            <v>1</v>
          </cell>
        </row>
        <row r="27">
          <cell r="H27">
            <v>2</v>
          </cell>
          <cell r="J27">
            <v>2</v>
          </cell>
        </row>
      </sheetData>
      <sheetData sheetId="3"/>
      <sheetData sheetId="4"/>
      <sheetData sheetId="5">
        <row r="8">
          <cell r="A8">
            <v>21.333333333333332</v>
          </cell>
          <cell r="D8">
            <v>21.333333333333332</v>
          </cell>
        </row>
        <row r="31">
          <cell r="A31" t="str">
            <v>x - Benefits</v>
          </cell>
          <cell r="B31">
            <v>0</v>
          </cell>
          <cell r="C31">
            <v>2</v>
          </cell>
        </row>
        <row r="32">
          <cell r="A32"/>
          <cell r="B32">
            <v>4</v>
          </cell>
          <cell r="C32">
            <v>2</v>
          </cell>
        </row>
        <row r="34">
          <cell r="A34" t="str">
            <v>y - Ease</v>
          </cell>
          <cell r="B34">
            <v>2</v>
          </cell>
          <cell r="C34">
            <v>0</v>
          </cell>
        </row>
        <row r="35">
          <cell r="B35">
            <v>2</v>
          </cell>
          <cell r="C35">
            <v>4</v>
          </cell>
        </row>
      </sheetData>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F48D88C7-5B8C-4A62-813E-AFF569BA5DA8}" sourceName="Area">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xr10:uid="{46F06644-D4BA-4D5D-8EFB-0A75581B8A03}" cache="Slicer_Area" caption="Area" style="SlicerStyleLight6"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2A5235-F212-4958-8370-8A1C3DECCFCF}" name="TBL_Candidates" displayName="TBL_Candidates" ref="B4:C19" totalsRowShown="0" headerRowDxfId="77" dataDxfId="76">
  <autoFilter ref="B4:C19" xr:uid="{00000000-0009-0000-0100-000001000000}"/>
  <tableColumns count="2">
    <tableColumn id="1" xr3:uid="{449EEF98-121E-4647-94F8-15426352B296}" name="Questions (Process Details)" dataDxfId="75"/>
    <tableColumn id="3" xr3:uid="{41229A78-6F80-4A1A-9C87-59E346F2D9C8}" name="Answer" dataDxfId="74"/>
  </tableColumns>
  <tableStyleInfo name="Job Candidates Tracker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B86D11E-25A1-4F5D-8133-C32377E40A89}" name="TBL_Openings5" displayName="TBL_Openings5" ref="B4:F27" headerRowDxfId="11" dataDxfId="10">
  <autoFilter ref="B4:F27" xr:uid="{3B3D1D38-3D3F-488F-B808-07E7DA74D163}">
    <filterColumn colId="0" hiddenButton="1"/>
    <filterColumn colId="1" hiddenButton="1"/>
    <filterColumn colId="2" hiddenButton="1"/>
    <filterColumn colId="3" hiddenButton="1"/>
    <filterColumn colId="4" hiddenButton="1"/>
  </autoFilter>
  <tableColumns count="5">
    <tableColumn id="1" xr3:uid="{5F43BD13-8696-4368-AFCC-874D6340E2B7}" name="Area" totalsRowLabel="Total" dataDxfId="9" totalsRowDxfId="8"/>
    <tableColumn id="2" xr3:uid="{97DFA384-3A33-4182-92D3-EC54BD66A725}" name="Srl. No." dataDxfId="7" totalsRowDxfId="6"/>
    <tableColumn id="3" xr3:uid="{9D75FF01-EDE4-4803-A0E1-B79101C06211}" name="Question" dataDxfId="5" totalsRowDxfId="4"/>
    <tableColumn id="4" xr3:uid="{85DE806D-CFA9-4492-AF95-21C2D72E35F8}" name="Answer" dataDxfId="3" totalsRowDxfId="2"/>
    <tableColumn id="5" xr3:uid="{B5284CD6-940B-4CED-8538-F7284A46A41A}" name="Notes" totalsRowFunction="count" dataDxfId="1" totalsRowDxfId="0"/>
  </tableColumns>
  <tableStyleInfo name="Job Candidates Tracker 1" showFirstColumn="0" showLastColumn="0" showRowStripes="1" showColumnStripes="0"/>
  <extLst>
    <ext xmlns:x14="http://schemas.microsoft.com/office/spreadsheetml/2009/9/main" uri="{504A1905-F514-4f6f-8877-14C23A59335A}">
      <x14:table altText="Table of Openings" altTextSummary="Table containing job openings and its corresponding details"/>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82196-3A86-44A5-9984-D4F2038FB1E9}">
  <sheetPr codeName="Sheet2">
    <tabColor theme="6" tint="0.59999389629810485"/>
  </sheetPr>
  <dimension ref="A1:D17"/>
  <sheetViews>
    <sheetView showGridLines="0" showRowColHeaders="0" zoomScale="98" zoomScaleNormal="98" workbookViewId="0">
      <selection activeCell="B17" sqref="B17"/>
    </sheetView>
  </sheetViews>
  <sheetFormatPr defaultColWidth="10" defaultRowHeight="21" customHeight="1" x14ac:dyDescent="0.3"/>
  <cols>
    <col min="1" max="1" width="2.109375" style="1" bestFit="1" customWidth="1"/>
    <col min="2" max="2" width="89.109375" style="2" customWidth="1"/>
    <col min="3" max="3" width="52.33203125" style="3" customWidth="1"/>
    <col min="4" max="5" width="1.77734375" style="1" customWidth="1"/>
    <col min="6" max="7" width="1.6640625" style="1" customWidth="1"/>
    <col min="8" max="16384" width="10" style="1"/>
  </cols>
  <sheetData>
    <row r="1" spans="1:4" ht="9" customHeight="1" x14ac:dyDescent="0.3">
      <c r="D1" s="4" t="s">
        <v>0</v>
      </c>
    </row>
    <row r="2" spans="1:4" s="5" customFormat="1" ht="86.25" customHeight="1" x14ac:dyDescent="0.3">
      <c r="B2" s="6"/>
    </row>
    <row r="3" spans="1:4" ht="2.25" customHeight="1" x14ac:dyDescent="0.3"/>
    <row r="4" spans="1:4" ht="13.8" x14ac:dyDescent="0.3"/>
    <row r="5" spans="1:4" ht="21" customHeight="1" x14ac:dyDescent="0.3">
      <c r="A5" s="156" t="s">
        <v>1</v>
      </c>
      <c r="B5" s="156"/>
      <c r="C5" s="156"/>
    </row>
    <row r="6" spans="1:4" ht="37.5" customHeight="1" x14ac:dyDescent="0.3">
      <c r="A6" s="155" t="s">
        <v>2</v>
      </c>
      <c r="B6" s="155"/>
      <c r="C6" s="155"/>
    </row>
    <row r="7" spans="1:4" ht="15" customHeight="1" x14ac:dyDescent="0.3">
      <c r="A7" s="7"/>
      <c r="B7" s="7"/>
      <c r="C7" s="7"/>
    </row>
    <row r="8" spans="1:4" ht="21" customHeight="1" x14ac:dyDescent="0.3">
      <c r="A8" s="156" t="s">
        <v>3</v>
      </c>
      <c r="B8" s="156"/>
      <c r="C8" s="156"/>
    </row>
    <row r="9" spans="1:4" ht="25.5" customHeight="1" x14ac:dyDescent="0.3">
      <c r="A9" s="155" t="s">
        <v>4</v>
      </c>
      <c r="B9" s="155"/>
      <c r="C9" s="155"/>
    </row>
    <row r="10" spans="1:4" ht="14.4" x14ac:dyDescent="0.3">
      <c r="A10" s="155" t="s">
        <v>5</v>
      </c>
      <c r="B10" s="155"/>
      <c r="C10" s="155"/>
    </row>
    <row r="11" spans="1:4" ht="33" customHeight="1" x14ac:dyDescent="0.3">
      <c r="A11" s="155" t="s">
        <v>6</v>
      </c>
      <c r="B11" s="155"/>
      <c r="C11" s="155"/>
    </row>
    <row r="12" spans="1:4" ht="14.25" customHeight="1" x14ac:dyDescent="0.3">
      <c r="A12" s="155" t="s">
        <v>7</v>
      </c>
      <c r="B12" s="155"/>
      <c r="C12" s="155"/>
    </row>
    <row r="13" spans="1:4" ht="21" customHeight="1" x14ac:dyDescent="0.3">
      <c r="A13" s="155" t="s">
        <v>8</v>
      </c>
      <c r="B13" s="155"/>
      <c r="C13" s="155"/>
    </row>
    <row r="14" spans="1:4" ht="13.5" customHeight="1" x14ac:dyDescent="0.3"/>
    <row r="15" spans="1:4" ht="21" customHeight="1" x14ac:dyDescent="0.3">
      <c r="A15" s="156" t="s">
        <v>9</v>
      </c>
      <c r="B15" s="156"/>
      <c r="C15" s="156"/>
    </row>
    <row r="16" spans="1:4" ht="14.4" x14ac:dyDescent="0.3">
      <c r="A16" s="8">
        <v>1</v>
      </c>
      <c r="B16" s="9" t="s">
        <v>10</v>
      </c>
      <c r="C16" s="9"/>
    </row>
    <row r="17" spans="1:2" ht="14.4" x14ac:dyDescent="0.3">
      <c r="A17" s="10">
        <v>2</v>
      </c>
      <c r="B17" s="9" t="s">
        <v>11</v>
      </c>
    </row>
  </sheetData>
  <mergeCells count="9">
    <mergeCell ref="A12:C12"/>
    <mergeCell ref="A13:C13"/>
    <mergeCell ref="A15:C15"/>
    <mergeCell ref="A5:C5"/>
    <mergeCell ref="A6:C6"/>
    <mergeCell ref="A8:C8"/>
    <mergeCell ref="A9:C9"/>
    <mergeCell ref="A10:C10"/>
    <mergeCell ref="A11:C11"/>
  </mergeCells>
  <dataValidations count="1">
    <dataValidation allowBlank="1" showInputMessage="1" showErrorMessage="1" promptTitle="Job Candidates Tracker" prompt="Track job candidates using this template._x000a__x000a_Edit Status options from the Data Validation tool in Data ribbon._x000a__x000a_Enter job candidate details in this worksheet. Enter job opening details and interviewer details in the next worksheets." sqref="A1" xr:uid="{D1C66386-EFF7-418E-9CD6-C9C1A4691300}"/>
  </dataValidations>
  <pageMargins left="0.3" right="0.3" top="0.5" bottom="0.5" header="0.3" footer="0.3"/>
  <pageSetup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3DFFD-373A-45FD-B8A0-4420EB8EE26B}">
  <sheetPr codeName="Sheet1">
    <tabColor theme="4" tint="0.59999389629810485"/>
  </sheetPr>
  <dimension ref="A1:D19"/>
  <sheetViews>
    <sheetView showGridLines="0" showRowColHeaders="0" zoomScale="98" zoomScaleNormal="98" workbookViewId="0">
      <selection activeCell="C5" sqref="C5:C19"/>
    </sheetView>
  </sheetViews>
  <sheetFormatPr defaultColWidth="10" defaultRowHeight="21" customHeight="1" x14ac:dyDescent="0.3"/>
  <cols>
    <col min="1" max="1" width="6.88671875" style="1" customWidth="1"/>
    <col min="2" max="2" width="89.109375" style="2" customWidth="1"/>
    <col min="3" max="3" width="52.33203125" style="3" customWidth="1"/>
    <col min="4" max="5" width="1.77734375" style="1" customWidth="1"/>
    <col min="6" max="7" width="1.6640625" style="1" customWidth="1"/>
    <col min="8" max="16384" width="10" style="1"/>
  </cols>
  <sheetData>
    <row r="1" spans="1:4" ht="9" customHeight="1" x14ac:dyDescent="0.3">
      <c r="D1" s="4" t="s">
        <v>0</v>
      </c>
    </row>
    <row r="2" spans="1:4" s="5" customFormat="1" ht="86.25" customHeight="1" x14ac:dyDescent="0.3">
      <c r="B2" s="6"/>
    </row>
    <row r="3" spans="1:4" ht="2.25" customHeight="1" x14ac:dyDescent="0.3"/>
    <row r="4" spans="1:4" s="13" customFormat="1" ht="34.5" customHeight="1" x14ac:dyDescent="0.3">
      <c r="A4" s="11" t="s">
        <v>12</v>
      </c>
      <c r="B4" s="12" t="s">
        <v>13</v>
      </c>
      <c r="C4" s="12" t="s">
        <v>14</v>
      </c>
    </row>
    <row r="5" spans="1:4" ht="30.75" customHeight="1" x14ac:dyDescent="0.3">
      <c r="A5" s="14">
        <v>1</v>
      </c>
      <c r="B5" s="9" t="s">
        <v>15</v>
      </c>
      <c r="C5" s="15"/>
    </row>
    <row r="6" spans="1:4" ht="30.75" customHeight="1" x14ac:dyDescent="0.3">
      <c r="A6" s="16">
        <v>2</v>
      </c>
      <c r="B6" s="9" t="s">
        <v>16</v>
      </c>
      <c r="C6" s="15"/>
    </row>
    <row r="7" spans="1:4" ht="26.25" customHeight="1" x14ac:dyDescent="0.3">
      <c r="A7" s="14">
        <v>3</v>
      </c>
      <c r="B7" s="9" t="s">
        <v>17</v>
      </c>
      <c r="C7" s="15"/>
    </row>
    <row r="8" spans="1:4" ht="30" customHeight="1" x14ac:dyDescent="0.3">
      <c r="A8" s="16">
        <v>4</v>
      </c>
      <c r="B8" s="9" t="s">
        <v>18</v>
      </c>
      <c r="C8" s="15"/>
    </row>
    <row r="9" spans="1:4" ht="24.75" customHeight="1" x14ac:dyDescent="0.3">
      <c r="A9" s="14">
        <v>5</v>
      </c>
      <c r="B9" s="9" t="s">
        <v>19</v>
      </c>
      <c r="C9" s="15"/>
    </row>
    <row r="10" spans="1:4" ht="30" customHeight="1" x14ac:dyDescent="0.3">
      <c r="A10" s="16">
        <v>6</v>
      </c>
      <c r="B10" s="9" t="s">
        <v>20</v>
      </c>
      <c r="C10" s="15"/>
    </row>
    <row r="11" spans="1:4" ht="24" customHeight="1" x14ac:dyDescent="0.3">
      <c r="A11" s="14">
        <v>7</v>
      </c>
      <c r="B11" s="9" t="s">
        <v>21</v>
      </c>
      <c r="C11" s="15"/>
    </row>
    <row r="12" spans="1:4" ht="27" customHeight="1" x14ac:dyDescent="0.3">
      <c r="A12" s="16">
        <v>8</v>
      </c>
      <c r="B12" s="9" t="s">
        <v>22</v>
      </c>
      <c r="C12" s="15"/>
    </row>
    <row r="13" spans="1:4" ht="24.75" customHeight="1" x14ac:dyDescent="0.3">
      <c r="A13" s="14">
        <v>9</v>
      </c>
      <c r="B13" s="9" t="s">
        <v>23</v>
      </c>
      <c r="C13" s="15"/>
    </row>
    <row r="14" spans="1:4" ht="24.75" customHeight="1" x14ac:dyDescent="0.3">
      <c r="A14" s="16">
        <v>10</v>
      </c>
      <c r="B14" s="9" t="s">
        <v>24</v>
      </c>
      <c r="C14" s="15"/>
    </row>
    <row r="15" spans="1:4" ht="24" customHeight="1" x14ac:dyDescent="0.3">
      <c r="A15" s="14">
        <v>11</v>
      </c>
      <c r="B15" s="9" t="s">
        <v>25</v>
      </c>
      <c r="C15" s="15"/>
    </row>
    <row r="16" spans="1:4" ht="24.75" customHeight="1" x14ac:dyDescent="0.3">
      <c r="A16" s="16">
        <v>12</v>
      </c>
      <c r="B16" s="9" t="s">
        <v>26</v>
      </c>
      <c r="C16" s="17"/>
    </row>
    <row r="17" spans="1:3" ht="22.5" customHeight="1" x14ac:dyDescent="0.3">
      <c r="A17" s="18">
        <v>13</v>
      </c>
      <c r="B17" s="19" t="s">
        <v>27</v>
      </c>
      <c r="C17" s="20"/>
    </row>
    <row r="18" spans="1:3" ht="24.75" customHeight="1" x14ac:dyDescent="0.3">
      <c r="A18" s="16">
        <v>14</v>
      </c>
      <c r="B18" s="19" t="s">
        <v>29</v>
      </c>
      <c r="C18" s="15"/>
    </row>
    <row r="19" spans="1:3" ht="21" customHeight="1" x14ac:dyDescent="0.3">
      <c r="A19" s="21">
        <v>15</v>
      </c>
      <c r="B19" s="9" t="s">
        <v>31</v>
      </c>
      <c r="C19" s="22"/>
    </row>
  </sheetData>
  <conditionalFormatting sqref="C10">
    <cfRule type="cellIs" dxfId="90" priority="13" operator="equal">
      <formula>$C$10</formula>
    </cfRule>
  </conditionalFormatting>
  <conditionalFormatting sqref="C9">
    <cfRule type="cellIs" dxfId="89" priority="12" operator="equal">
      <formula>$C$9</formula>
    </cfRule>
  </conditionalFormatting>
  <conditionalFormatting sqref="C5">
    <cfRule type="cellIs" dxfId="88" priority="8" stopIfTrue="1" operator="equal">
      <formula>$C$5</formula>
    </cfRule>
  </conditionalFormatting>
  <conditionalFormatting sqref="C6">
    <cfRule type="cellIs" dxfId="87" priority="9" stopIfTrue="1" operator="equal">
      <formula>$C$6</formula>
    </cfRule>
  </conditionalFormatting>
  <conditionalFormatting sqref="C7">
    <cfRule type="cellIs" dxfId="86" priority="10" stopIfTrue="1" operator="equal">
      <formula>$C$7</formula>
    </cfRule>
  </conditionalFormatting>
  <conditionalFormatting sqref="C8">
    <cfRule type="cellIs" dxfId="85" priority="11" stopIfTrue="1" operator="equal">
      <formula>$C$8</formula>
    </cfRule>
  </conditionalFormatting>
  <conditionalFormatting sqref="C12">
    <cfRule type="cellIs" dxfId="84" priority="7" operator="equal">
      <formula>$C$12</formula>
    </cfRule>
  </conditionalFormatting>
  <conditionalFormatting sqref="C13">
    <cfRule type="cellIs" dxfId="83" priority="6" operator="equal">
      <formula>$C$13</formula>
    </cfRule>
  </conditionalFormatting>
  <conditionalFormatting sqref="C14">
    <cfRule type="cellIs" dxfId="82" priority="5" operator="equal">
      <formula>$C$14</formula>
    </cfRule>
  </conditionalFormatting>
  <conditionalFormatting sqref="C15:C16">
    <cfRule type="cellIs" dxfId="81" priority="4" operator="equal">
      <formula>$C$15</formula>
    </cfRule>
  </conditionalFormatting>
  <conditionalFormatting sqref="C11">
    <cfRule type="cellIs" dxfId="80" priority="3" operator="equal">
      <formula>$C$11</formula>
    </cfRule>
  </conditionalFormatting>
  <conditionalFormatting sqref="C17">
    <cfRule type="cellIs" dxfId="79" priority="2" operator="equal">
      <formula>$C$17</formula>
    </cfRule>
  </conditionalFormatting>
  <conditionalFormatting sqref="C18">
    <cfRule type="cellIs" dxfId="78" priority="1" operator="equal">
      <formula>$C$18</formula>
    </cfRule>
  </conditionalFormatting>
  <dataValidations count="9">
    <dataValidation type="list" allowBlank="1" showInputMessage="1" showErrorMessage="1" sqref="C19" xr:uid="{B444709A-201A-4B11-9172-57FE60024DE4}">
      <formula1>"No, Within 3-6 months, Within a year, Beyond 1 year"</formula1>
    </dataValidation>
    <dataValidation type="list" allowBlank="1" showInputMessage="1" showErrorMessage="1" sqref="C14" xr:uid="{D1A3B3DB-EA15-4D12-8611-C65F37B4D986}">
      <formula1>"Analysis, Migration, Operational Data Processing, System Integration, Others"</formula1>
    </dataValidation>
    <dataValidation type="list" allowBlank="1" showInputMessage="1" showErrorMessage="1" sqref="C13" xr:uid="{38CDAFB4-A1C8-467A-B630-538401E0265A}">
      <formula1>"Global Process, Regional Process, Local Process, Customer Specific Process"</formula1>
    </dataValidation>
    <dataValidation type="list" allowBlank="1" showInputMessage="1" showErrorMessage="1" sqref="C12" xr:uid="{22324166-1B84-4BF0-A1A8-C08A9CCA07D2}">
      <formula1>"Productivity, Cost, Risk, Revenue, Others"</formula1>
    </dataValidation>
    <dataValidation type="list" allowBlank="1" showInputMessage="1" showErrorMessage="1" sqref="C6" xr:uid="{2B416144-16F4-4FE2-9592-3F95722A03F5}">
      <formula1>"Back Office Operations, Human Resource, Finance &amp; Administration, Contact Centre, Fornt Office Operations, Shared Services, Others"</formula1>
    </dataValidation>
    <dataValidation type="list" allowBlank="1" showInputMessage="1" showErrorMessage="1" sqref="C5" xr:uid="{91F5EAF1-B620-4959-91CC-8523B71C5CFA}">
      <formula1>"O2C, S2P, H2R, R2R, MD, I2L"</formula1>
    </dataValidation>
    <dataValidation allowBlank="1" showErrorMessage="1" prompt="Select status from drop down field" sqref="C4" xr:uid="{D32076FB-EFE4-467D-A4E0-90066872D2DA}"/>
    <dataValidation allowBlank="1" showErrorMessage="1" prompt="Enter candidate names in this column under this heading" sqref="A4:B4" xr:uid="{5CCD8246-D722-42C5-9F2C-17E4B5452778}"/>
    <dataValidation allowBlank="1" showInputMessage="1" showErrorMessage="1" promptTitle="Job Candidates Tracker" prompt="Track job candidates using this template._x000a__x000a_Edit Status options from the Data Validation tool in Data ribbon._x000a__x000a_Enter job candidate details in this worksheet. Enter job opening details and interviewer details in the next worksheets." sqref="A1" xr:uid="{ECD8FDC6-1C9C-4E43-815D-220E7FB55C68}"/>
  </dataValidations>
  <pageMargins left="0.3" right="0.3" top="0.5" bottom="0.5" header="0.3" footer="0.3"/>
  <pageSetup fitToHeight="0"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AE62F-A733-4C88-8737-6343479E7C25}">
  <sheetPr codeName="Sheet9">
    <tabColor theme="4" tint="0.59999389629810485"/>
  </sheetPr>
  <dimension ref="A1:S30"/>
  <sheetViews>
    <sheetView showGridLines="0" showRowColHeaders="0" zoomScale="91" zoomScaleNormal="91" workbookViewId="0">
      <selection activeCell="E5" sqref="E5:E27"/>
    </sheetView>
  </sheetViews>
  <sheetFormatPr defaultColWidth="10" defaultRowHeight="42" customHeight="1" x14ac:dyDescent="0.3"/>
  <cols>
    <col min="1" max="1" width="1.6640625" style="3" customWidth="1"/>
    <col min="2" max="2" width="22.77734375" style="3" customWidth="1"/>
    <col min="3" max="3" width="9.5546875" style="3" customWidth="1"/>
    <col min="4" max="4" width="80.6640625" style="23" customWidth="1"/>
    <col min="5" max="5" width="42.21875" style="24" customWidth="1"/>
    <col min="6" max="6" width="36.6640625" style="3" customWidth="1"/>
    <col min="7" max="7" width="12.88671875" style="25" hidden="1" customWidth="1"/>
    <col min="8" max="8" width="10.21875" style="25" hidden="1" customWidth="1"/>
    <col min="9" max="9" width="4.109375" style="25" hidden="1" customWidth="1"/>
    <col min="10" max="10" width="12.6640625" style="25" hidden="1" customWidth="1"/>
    <col min="11" max="11" width="10.5546875" style="26" hidden="1" customWidth="1"/>
    <col min="12" max="12" width="3.44140625" style="3" hidden="1" customWidth="1"/>
    <col min="13" max="13" width="7.77734375" style="29" hidden="1" customWidth="1"/>
    <col min="14" max="14" width="11" style="29" hidden="1" customWidth="1"/>
    <col min="15" max="15" width="11.5546875" style="29" hidden="1" customWidth="1"/>
    <col min="16" max="16" width="11.77734375" style="29" hidden="1" customWidth="1"/>
    <col min="17" max="17" width="10.5546875" style="29" hidden="1" customWidth="1"/>
    <col min="18" max="18" width="11.77734375" style="29" hidden="1" customWidth="1"/>
    <col min="19" max="19" width="10" style="3" hidden="1" customWidth="1"/>
    <col min="20" max="16384" width="10" style="3"/>
  </cols>
  <sheetData>
    <row r="1" spans="1:19" ht="9" customHeight="1" x14ac:dyDescent="0.3">
      <c r="G1" s="25" t="s">
        <v>0</v>
      </c>
      <c r="L1" s="27"/>
      <c r="M1" s="28"/>
    </row>
    <row r="2" spans="1:19" s="5" customFormat="1" ht="86.25" customHeight="1" x14ac:dyDescent="0.3">
      <c r="B2" s="30"/>
      <c r="D2" s="31"/>
      <c r="E2" s="32"/>
      <c r="G2" s="33" t="s">
        <v>32</v>
      </c>
      <c r="H2" s="34" t="s">
        <v>33</v>
      </c>
      <c r="I2" s="35"/>
      <c r="J2" s="36">
        <f>SUM(Questionaire!J25,Questionaire!J26,Questionaire!J9,Questionaire!J8,Questionaire!J21,((((Questionaire!J22)/3*100)/100)*4),Questionaire!J23,((((Questionaire!J24)/3*100)/100)*4),Questionaire!J27)</f>
        <v>0</v>
      </c>
      <c r="K2" s="37">
        <f>SUM(((((Questionaire!J10)/2*100)/100)*4),J11,((((Questionaire!J12)/2*100)/100)*4),((((Questionaire!J13)/2*100)/100)*4),J16,((((Questionaire!J18)/3*100)/100)*4),J19,((((Questionaire!J20)/3*100)/100)*4))</f>
        <v>0</v>
      </c>
      <c r="L2" s="38"/>
      <c r="M2" s="39" t="str">
        <f>IF(AND(OR(Questionaire!H11=1,Questionaire!H15=1),Questionaire!H10=1),"Recommended for Assisted Robotic Process Automation (Also called Desktop Automation) with other Digital Process Automation Technologies",(IF(AND(Questionaire!H13=2,Questionaire!H10=1),"Recommended for OCR With Assisted Robotic Process Automation (Also called Desktop Automation)",IF(Questionaire!H10=1,"Recommended for Assisted Robotic Process Automation (Also called Desktop Automation) or Robotic Process Automation with Artificial Intelligence",IF(AND(OR(Questionaire!H11=1,Questionaire!H15=1),Questionaire!H10&lt;&gt;1),"Recommended for Robotic Process Automation (Unassisted Automation) with other Digital Process Automation Technologies",(IF(AND(Questionaire!H13=2,Questionaire!H10&lt;&gt;1),"Recommended for OCR With Robotic Process Automation (Unassisted Automation)",IF(Questionaire!H10=1,"Recommended for Assisted Robotic Process Automation (Also called Desktop Automation) or Robotic Process Automation with Artificial Intelligence","Recommended for Robotic Process Automation (Unassisted Automation)"))))))))</f>
        <v>Recommended for Robotic Process Automation (Unassisted Automation)</v>
      </c>
      <c r="N2" s="40"/>
      <c r="O2" s="40"/>
      <c r="P2" s="40"/>
      <c r="Q2" s="40"/>
      <c r="R2" s="40"/>
    </row>
    <row r="3" spans="1:19" ht="6" customHeight="1" x14ac:dyDescent="0.3">
      <c r="L3" s="41"/>
    </row>
    <row r="4" spans="1:19" s="42" customFormat="1" ht="42" customHeight="1" x14ac:dyDescent="0.3">
      <c r="B4" s="43" t="s">
        <v>34</v>
      </c>
      <c r="C4" s="43" t="s">
        <v>12</v>
      </c>
      <c r="D4" s="43" t="s">
        <v>35</v>
      </c>
      <c r="E4" s="44" t="s">
        <v>14</v>
      </c>
      <c r="F4" s="43" t="s">
        <v>36</v>
      </c>
      <c r="G4" s="45"/>
      <c r="H4" s="45"/>
      <c r="I4" s="45"/>
      <c r="J4" s="45"/>
      <c r="K4" s="46"/>
      <c r="L4" s="47"/>
      <c r="M4" s="48" t="s">
        <v>37</v>
      </c>
      <c r="N4" s="49" t="s">
        <v>38</v>
      </c>
      <c r="O4" s="49" t="s">
        <v>39</v>
      </c>
      <c r="P4" s="49" t="s">
        <v>40</v>
      </c>
      <c r="Q4" s="49" t="s">
        <v>41</v>
      </c>
      <c r="R4" s="48" t="s">
        <v>42</v>
      </c>
    </row>
    <row r="5" spans="1:19" s="42" customFormat="1" ht="42" customHeight="1" x14ac:dyDescent="0.3">
      <c r="B5" s="50" t="s">
        <v>43</v>
      </c>
      <c r="C5" s="51">
        <v>1</v>
      </c>
      <c r="D5" s="50" t="s">
        <v>44</v>
      </c>
      <c r="E5" s="50"/>
      <c r="F5" s="52"/>
      <c r="G5" s="45" t="s">
        <v>45</v>
      </c>
      <c r="H5" s="45"/>
      <c r="I5" s="45"/>
      <c r="J5" s="45"/>
      <c r="K5" s="46"/>
      <c r="L5" s="47"/>
      <c r="M5" s="48"/>
      <c r="N5" s="49"/>
      <c r="O5" s="49"/>
      <c r="P5" s="49"/>
      <c r="Q5" s="49"/>
      <c r="R5" s="48"/>
    </row>
    <row r="6" spans="1:19" ht="61.5" customHeight="1" x14ac:dyDescent="0.3">
      <c r="B6" s="50" t="s">
        <v>43</v>
      </c>
      <c r="C6" s="51">
        <v>2</v>
      </c>
      <c r="D6" s="50" t="s">
        <v>46</v>
      </c>
      <c r="E6" s="50"/>
      <c r="F6" s="52"/>
      <c r="G6" s="45" t="s">
        <v>45</v>
      </c>
      <c r="L6" s="41"/>
      <c r="M6" s="49"/>
      <c r="N6" s="49"/>
      <c r="O6" s="49"/>
      <c r="P6" s="49"/>
      <c r="Q6" s="53"/>
      <c r="R6" s="54"/>
    </row>
    <row r="7" spans="1:19" ht="57.6" x14ac:dyDescent="0.3">
      <c r="B7" s="50" t="s">
        <v>43</v>
      </c>
      <c r="C7" s="51">
        <v>3</v>
      </c>
      <c r="D7" s="50" t="s">
        <v>47</v>
      </c>
      <c r="E7" s="50"/>
      <c r="F7" s="51"/>
      <c r="H7" s="25">
        <f>IF(TBL_Openings5[[#This Row],[Answer]]="Process is Standarized with no variations",3,IF(TBL_Openings5[[#This Row],[Answer]]="Process is not Standarized and less variations",2,IF(TBL_Openings5[[#This Row],[Answer]]="Process is not Standarized and high variations",1,0)))</f>
        <v>0</v>
      </c>
      <c r="L7" s="41"/>
      <c r="M7" s="49" t="s">
        <v>49</v>
      </c>
      <c r="N7" s="49" t="s">
        <v>50</v>
      </c>
      <c r="O7" s="49"/>
      <c r="P7" s="49"/>
      <c r="Q7" s="53"/>
      <c r="R7" s="54"/>
    </row>
    <row r="8" spans="1:19" ht="72" x14ac:dyDescent="0.3">
      <c r="B8" s="50" t="s">
        <v>43</v>
      </c>
      <c r="C8" s="51">
        <v>4</v>
      </c>
      <c r="D8" s="50" t="s">
        <v>51</v>
      </c>
      <c r="E8" s="50"/>
      <c r="F8" s="51"/>
      <c r="H8" s="25">
        <f>IF(TBL_Openings5[[#This Row],[Answer]]="Highly Repetitive and High Error Rate",4,IF(TBL_Openings5[[#This Row],[Answer]]="Highly Repetitive and Moderate Error Rate",3,IF(TBL_Openings5[[#This Row],[Answer]]="Highly Repetitive and Low Error Rate",2,IF(TBL_Openings5[[#This Row],[Answer]]="Highly Repetitive and No Errors",1,0))))</f>
        <v>0</v>
      </c>
      <c r="J8" s="25">
        <f>IF(TBL_Openings5[[#This Row],[Answer]]="Highly Repetitive and High Error Rate",4,IF(TBL_Openings5[[#This Row],[Answer]]="Highly Repetitive and Moderate Error Rate",3,IF(TBL_Openings5[[#This Row],[Answer]]="Highly Repetitive and Low Error Rate",2,IF(TBL_Openings5[[#This Row],[Answer]]="Highly Repetitive and No Errors",1,0))))</f>
        <v>0</v>
      </c>
      <c r="L8" s="41"/>
      <c r="M8" s="49" t="s">
        <v>53</v>
      </c>
      <c r="N8" s="49" t="s">
        <v>54</v>
      </c>
      <c r="O8" s="49"/>
      <c r="P8" s="49"/>
      <c r="Q8" s="53"/>
      <c r="R8" s="54"/>
    </row>
    <row r="9" spans="1:19" ht="42.75" customHeight="1" x14ac:dyDescent="0.3">
      <c r="B9" s="50" t="s">
        <v>55</v>
      </c>
      <c r="C9" s="51">
        <v>5</v>
      </c>
      <c r="D9" s="50" t="s">
        <v>56</v>
      </c>
      <c r="E9" s="50"/>
      <c r="F9" s="52"/>
      <c r="H9" s="25">
        <f>IF(TBL_Openings5[[#This Row],[Answer]]="High Rate of Error and High/Moderate Impact",4,IF(TBL_Openings5[[#This Row],[Answer]]="Medium Rate of Error and High/Moderate Impact",3,IF(TBL_Openings5[[#This Row],[Answer]]="Low Rate of Error and High/Moderate Impact",2,IF(TBL_Openings5[[#This Row],[Answer]]="Low Rate of Error and Low Impact",1,0))))</f>
        <v>0</v>
      </c>
      <c r="J9" s="25">
        <f>IF(TBL_Openings5[[#This Row],[Answer]]="High Rate of Error and High/Moderate Impact",4,IF(TBL_Openings5[[#This Row],[Answer]]="Medium Rate of Error and High/Moderate Impact",3,IF(TBL_Openings5[[#This Row],[Answer]]="Low Rate of Error and High/Moderate Impact",2,IF(TBL_Openings5[[#This Row],[Answer]]="Low Rate of Error and Low Impact",1,0))))</f>
        <v>0</v>
      </c>
      <c r="L9" s="41"/>
      <c r="M9" s="49" t="s">
        <v>53</v>
      </c>
      <c r="N9" s="49" t="s">
        <v>54</v>
      </c>
      <c r="O9" s="49"/>
      <c r="P9" s="49"/>
      <c r="Q9" s="53"/>
      <c r="R9" s="54"/>
    </row>
    <row r="10" spans="1:19" ht="86.4" x14ac:dyDescent="0.3">
      <c r="B10" s="50" t="s">
        <v>43</v>
      </c>
      <c r="C10" s="51">
        <v>6</v>
      </c>
      <c r="D10" s="50" t="s">
        <v>58</v>
      </c>
      <c r="E10" s="50"/>
      <c r="F10" s="51"/>
      <c r="H10" s="25">
        <f>IF(TBL_Openings5[[#This Row],[Answer]]="Structured Business rules for decision making",2,IF(TBL_Openings5[[#This Row],[Answer]]="Un-Structured Business rule or manual judgement for decision making",1,0))</f>
        <v>0</v>
      </c>
      <c r="J10" s="55">
        <f>IF(TBL_Openings5[[#This Row],[Answer]]="Structured Business rules for decision making",2,IF(TBL_Openings5[[#This Row],[Answer]]="Un-Structured Business rule or manual judgement for decision making",1,0))</f>
        <v>0</v>
      </c>
      <c r="L10" s="41"/>
      <c r="M10" s="49">
        <v>2</v>
      </c>
      <c r="N10" s="49">
        <v>2</v>
      </c>
      <c r="O10" s="56">
        <v>1</v>
      </c>
      <c r="P10" s="49"/>
      <c r="Q10" s="53"/>
      <c r="R10" s="54"/>
    </row>
    <row r="11" spans="1:19" ht="72" x14ac:dyDescent="0.3">
      <c r="B11" s="50" t="s">
        <v>43</v>
      </c>
      <c r="C11" s="51">
        <v>7</v>
      </c>
      <c r="D11" s="50" t="s">
        <v>60</v>
      </c>
      <c r="E11" s="50"/>
      <c r="F11" s="51"/>
      <c r="H11" s="25">
        <f>IF(TBL_Openings5[[#This Row],[Answer]]="Input is Standardized and Output is Standardized",4,IF(TBL_Openings5[[#This Row],[Answer]]="Input is Standardized but Output is not Standardized",3,IF(TBL_Openings5[[#This Row],[Answer]]="Input is not Standardized but Output is Standardized",2,IF(TBL_Openings5[[#This Row],[Answer]]="Input and Output both are not Standardized",1,0))))</f>
        <v>0</v>
      </c>
      <c r="J11" s="57">
        <f>IF(TBL_Openings5[[#This Row],[Answer]]="Input is Standardized and Output is Standardized",4,IF(TBL_Openings5[[#This Row],[Answer]]="Input is Standardized but Output is not Standardized",3,IF(TBL_Openings5[[#This Row],[Answer]]="Input is not Standardized but Output is Standardized",2,IF(TBL_Openings5[[#This Row],[Answer]]="Input and Output both are not Standardized",1,0))))</f>
        <v>0</v>
      </c>
      <c r="L11" s="41"/>
      <c r="M11" s="49" t="s">
        <v>62</v>
      </c>
      <c r="N11" s="49" t="s">
        <v>62</v>
      </c>
      <c r="O11" s="49"/>
      <c r="P11" s="58"/>
      <c r="Q11" s="59">
        <v>1</v>
      </c>
      <c r="R11" s="53" t="s">
        <v>63</v>
      </c>
    </row>
    <row r="12" spans="1:19" ht="72" x14ac:dyDescent="0.3">
      <c r="B12" s="50" t="s">
        <v>43</v>
      </c>
      <c r="C12" s="51">
        <v>8</v>
      </c>
      <c r="D12" s="50" t="s">
        <v>64</v>
      </c>
      <c r="E12" s="50"/>
      <c r="F12" s="52"/>
      <c r="G12" s="3" t="s">
        <v>65</v>
      </c>
      <c r="H12" s="25">
        <f>IF(TBL_Openings5[[#This Row],[Answer]]="No",1,IF(TBL_Openings5[[#This Row],[Answer]]="Yes",2,0))</f>
        <v>0</v>
      </c>
      <c r="J12" s="55">
        <f>IF(TBL_Openings5[[#This Row],[Answer]]="No",1,IF(TBL_Openings5[[#This Row],[Answer]]="Yes",2,0))</f>
        <v>0</v>
      </c>
      <c r="L12" s="41"/>
      <c r="M12" s="49" t="s">
        <v>66</v>
      </c>
      <c r="N12" s="49" t="s">
        <v>66</v>
      </c>
      <c r="O12" s="49"/>
      <c r="P12" s="58"/>
      <c r="Q12" s="53"/>
      <c r="R12" s="53" t="s">
        <v>67</v>
      </c>
      <c r="S12" s="25" t="s">
        <v>68</v>
      </c>
    </row>
    <row r="13" spans="1:19" ht="14.4" x14ac:dyDescent="0.3">
      <c r="B13" s="50" t="s">
        <v>55</v>
      </c>
      <c r="C13" s="51">
        <v>9</v>
      </c>
      <c r="D13" s="50" t="s">
        <v>69</v>
      </c>
      <c r="E13" s="50"/>
      <c r="F13" s="52"/>
      <c r="H13" s="25">
        <f>IF(TBL_Openings5[[#This Row],[Answer]]="No",1,IF(TBL_Openings5[[#This Row],[Answer]]="Yes",2,0))</f>
        <v>0</v>
      </c>
      <c r="J13" s="55">
        <f>IF(TBL_Openings5[[#This Row],[Answer]]="No",2,IF(TBL_Openings5[[#This Row],[Answer]]="Yes",1,0))</f>
        <v>0</v>
      </c>
      <c r="L13" s="41"/>
      <c r="M13" s="49">
        <v>1</v>
      </c>
      <c r="N13" s="49">
        <v>1</v>
      </c>
      <c r="O13" s="49"/>
      <c r="P13" s="56">
        <v>2</v>
      </c>
      <c r="Q13" s="53"/>
      <c r="R13" s="53"/>
    </row>
    <row r="14" spans="1:19" ht="72" x14ac:dyDescent="0.3">
      <c r="A14" s="3" t="s">
        <v>70</v>
      </c>
      <c r="B14" s="50" t="s">
        <v>55</v>
      </c>
      <c r="C14" s="51">
        <v>10</v>
      </c>
      <c r="D14" s="50" t="s">
        <v>71</v>
      </c>
      <c r="E14" s="60"/>
      <c r="F14" s="52"/>
      <c r="L14" s="41"/>
      <c r="M14" s="49"/>
      <c r="N14" s="49"/>
      <c r="O14" s="49"/>
      <c r="P14" s="49"/>
      <c r="Q14" s="53"/>
      <c r="R14" s="53"/>
      <c r="S14" s="25" t="s">
        <v>68</v>
      </c>
    </row>
    <row r="15" spans="1:19" ht="14.4" x14ac:dyDescent="0.3">
      <c r="B15" s="50" t="s">
        <v>55</v>
      </c>
      <c r="C15" s="51">
        <v>11</v>
      </c>
      <c r="D15" s="50" t="s">
        <v>73</v>
      </c>
      <c r="E15" s="50"/>
      <c r="F15" s="52"/>
      <c r="H15" s="25">
        <f>IF(TBL_Openings5[[#This Row],[Answer]]="Repetetive UI steps on screen",2,IF(TBL_Openings5[[#This Row],[Answer]]="Depending upon Input another workflow gets triggerd",1,0))</f>
        <v>0</v>
      </c>
      <c r="L15" s="41"/>
      <c r="M15" s="49">
        <v>2</v>
      </c>
      <c r="N15" s="49">
        <v>2</v>
      </c>
      <c r="O15" s="49"/>
      <c r="P15" s="49"/>
      <c r="Q15" s="59">
        <v>1</v>
      </c>
      <c r="R15" s="53"/>
    </row>
    <row r="16" spans="1:19" ht="57.6" x14ac:dyDescent="0.3">
      <c r="B16" s="50" t="s">
        <v>55</v>
      </c>
      <c r="C16" s="51">
        <v>12</v>
      </c>
      <c r="D16" s="50" t="s">
        <v>75</v>
      </c>
      <c r="E16" s="50"/>
      <c r="F16" s="52"/>
      <c r="H16" s="25">
        <f>IF(TBL_Openings5[[#This Row],[Answer]]="Very High",4,IF(TBL_Openings5[[#This Row],[Answer]]="High",3,IF(TBL_Openings5[[#This Row],[Answer]]="Low",2,IF(TBL_Openings5[[#This Row],[Answer]]="Very Low",1,0))))</f>
        <v>0</v>
      </c>
      <c r="J16" s="57">
        <f>IF(TBL_Openings5[[#This Row],[Answer]]="Very High",1,IF(TBL_Openings5[[#This Row],[Answer]]="High",2,IF(TBL_Openings5[[#This Row],[Answer]]="Low",3,IF(TBL_Openings5[[#This Row],[Answer]]="Very Low",4,0))))</f>
        <v>0</v>
      </c>
      <c r="L16" s="41"/>
      <c r="M16" s="49">
        <v>4</v>
      </c>
      <c r="N16" s="49" t="s">
        <v>53</v>
      </c>
      <c r="O16" s="49"/>
      <c r="P16" s="49"/>
      <c r="Q16" s="53"/>
      <c r="R16" s="61" t="s">
        <v>66</v>
      </c>
    </row>
    <row r="17" spans="2:19" ht="50.25" customHeight="1" x14ac:dyDescent="0.3">
      <c r="B17" s="50" t="s">
        <v>77</v>
      </c>
      <c r="C17" s="51">
        <v>13</v>
      </c>
      <c r="D17" s="50" t="s">
        <v>78</v>
      </c>
      <c r="E17" s="60"/>
      <c r="F17" s="52"/>
      <c r="L17" s="41"/>
      <c r="M17" s="49"/>
      <c r="N17" s="49"/>
      <c r="O17" s="49"/>
      <c r="P17" s="49"/>
      <c r="Q17" s="53"/>
      <c r="R17" s="53"/>
    </row>
    <row r="18" spans="2:19" ht="72" x14ac:dyDescent="0.3">
      <c r="B18" s="50" t="s">
        <v>55</v>
      </c>
      <c r="C18" s="51">
        <v>14</v>
      </c>
      <c r="D18" s="50" t="s">
        <v>79</v>
      </c>
      <c r="E18" s="50"/>
      <c r="F18" s="52"/>
      <c r="H18" s="25">
        <f>IF(TBL_Openings5[[#This Row],[Answer]]="Yes, more than 5 applications/systems are involved",3,IF(TBL_Openings5[[#This Row],[Answer]]="Yes, less than 5 applications/systems are involved",2,IF(TBL_Openings5[[#This Row],[Answer]]="No, only one application/system in involved",1,0)))</f>
        <v>0</v>
      </c>
      <c r="I18" s="25">
        <f>IF(AND(H18=1,H20=1),1,IF(AND(H18&gt;1,H20&gt;1),H18,IF(AND(H18=1,H20&gt;1),H20,IF(AND(H18&gt;1,H20=1),H18,1))))</f>
        <v>1</v>
      </c>
      <c r="J18" s="62">
        <f>IF(TBL_Openings5[[#This Row],[Answer]]="Yes, more than 5 applications/systems are involved",1,IF(TBL_Openings5[[#This Row],[Answer]]="Yes, less than 5 applications/systems are involved",2,IF(TBL_Openings5[[#This Row],[Answer]]="No, only one application/system in involved",3,0)))</f>
        <v>0</v>
      </c>
      <c r="L18" s="41"/>
      <c r="M18" s="49">
        <v>3</v>
      </c>
      <c r="N18" s="49" t="s">
        <v>49</v>
      </c>
      <c r="O18" s="49"/>
      <c r="P18" s="49"/>
      <c r="Q18" s="53"/>
      <c r="R18" s="61">
        <v>1</v>
      </c>
    </row>
    <row r="19" spans="2:19" s="68" customFormat="1" ht="41.4" x14ac:dyDescent="0.3">
      <c r="B19" s="50" t="s">
        <v>55</v>
      </c>
      <c r="C19" s="51">
        <v>15</v>
      </c>
      <c r="D19" s="50" t="s">
        <v>81</v>
      </c>
      <c r="E19" s="50"/>
      <c r="F19" s="52"/>
      <c r="G19" s="63" t="s">
        <v>83</v>
      </c>
      <c r="H19" s="25">
        <f>IF(TBL_Openings5[[#This Row],[Answer]]="No",4,IF(TBL_Openings5[[#This Row],[Answer]]="Yes, accessed through Citrix",3,IF(TBL_Openings5[[#This Row],[Answer]]="Yes, accessed through Remote Desktop Connection",2,IF(TBL_Openings5[[#This Row],[Answer]]="Both",1,0))))</f>
        <v>0</v>
      </c>
      <c r="I19" s="63"/>
      <c r="J19" s="57">
        <f>IF(TBL_Openings5[[#This Row],[Answer]]="No",3,IF(TBL_Openings5[[#This Row],[Answer]]="Yes, accessed through Citrix",2,IF(TBL_Openings5[[#This Row],[Answer]]="Yes, accessed through Remote Desktop Connection",2,IF(TBL_Openings5[[#This Row],[Answer]]="Both",1,0))))</f>
        <v>0</v>
      </c>
      <c r="K19" s="64"/>
      <c r="L19" s="65"/>
      <c r="M19" s="66"/>
      <c r="N19" s="66"/>
      <c r="O19" s="66"/>
      <c r="P19" s="66"/>
      <c r="Q19" s="67"/>
      <c r="R19" s="67"/>
      <c r="S19" s="68" t="s">
        <v>84</v>
      </c>
    </row>
    <row r="20" spans="2:19" ht="43.2" x14ac:dyDescent="0.3">
      <c r="B20" s="50" t="s">
        <v>55</v>
      </c>
      <c r="C20" s="51">
        <v>16</v>
      </c>
      <c r="D20" s="50" t="s">
        <v>85</v>
      </c>
      <c r="E20" s="50"/>
      <c r="F20" s="52"/>
      <c r="H20" s="25">
        <f>IF(TBL_Openings5[[#This Row],[Answer]]="More than 20 different screens are involved",3,IF(TBL_Openings5[[#This Row],[Answer]]="Less than 20 and more than 10 different screens are involved",2,IF(TBL_Openings5[[#This Row],[Answer]]="Less than 10 different screens are involved",1,0)))</f>
        <v>0</v>
      </c>
      <c r="J20" s="62">
        <f>IF(TBL_Openings5[[#This Row],[Answer]]="More than 20 different screens are involved",1,IF(TBL_Openings5[[#This Row],[Answer]]="Less than 20 and more than 10 different screens are involved",2,IF(TBL_Openings5[[#This Row],[Answer]]="Less than 10 different screens are involved",3,0)))</f>
        <v>0</v>
      </c>
      <c r="L20" s="41"/>
      <c r="M20" s="49">
        <v>3</v>
      </c>
      <c r="N20" s="49" t="s">
        <v>49</v>
      </c>
      <c r="O20" s="49"/>
      <c r="P20" s="49"/>
      <c r="Q20" s="53"/>
      <c r="R20" s="61">
        <v>1</v>
      </c>
    </row>
    <row r="21" spans="2:19" ht="45.75" customHeight="1" x14ac:dyDescent="0.3">
      <c r="B21" s="50" t="s">
        <v>77</v>
      </c>
      <c r="C21" s="51">
        <v>17</v>
      </c>
      <c r="D21" s="50" t="s">
        <v>87</v>
      </c>
      <c r="E21" s="50"/>
      <c r="F21" s="52"/>
      <c r="H21" s="25">
        <f>IF(OR(TBL_Openings5[[#This Row],[Answer]]="Daily",TBL_Openings5[[#This Row],[Answer]]="Weekly",TBL_Openings5[[#This Row],[Answer]]="Monthly",TBL_Openings5[[#This Row],[Answer]]="Quarterly",TBL_Openings5[[#This Row],[Answer]]="Fortnightly"),4,IF(TBL_Openings5[[#This Row],[Answer]]="Half-yearly",3,IF(TBL_Openings5[[#This Row],[Answer]]="Annual",2,IF(TBL_Openings5[[#This Row],[Answer]]="AdHoc",1,0))))</f>
        <v>0</v>
      </c>
      <c r="J21" s="25">
        <f>IF(OR(TBL_Openings5[[#This Row],[Answer]]="Daily",TBL_Openings5[[#This Row],[Answer]]="Weekly",TBL_Openings5[[#This Row],[Answer]]="Monthly",TBL_Openings5[[#This Row],[Answer]]="Quarterly",TBL_Openings5[[#This Row],[Answer]]="Fortnightly"),4,IF(TBL_Openings5[[#This Row],[Answer]]="Half-yearly",3,IF(TBL_Openings5[[#This Row],[Answer]]="Annual",2,IF(TBL_Openings5[[#This Row],[Answer]]="AdHoc",1,0))))</f>
        <v>0</v>
      </c>
      <c r="L21" s="41"/>
      <c r="M21" s="69" t="s">
        <v>89</v>
      </c>
      <c r="N21" s="69" t="s">
        <v>89</v>
      </c>
      <c r="O21" s="49"/>
      <c r="P21" s="49"/>
      <c r="Q21" s="53"/>
      <c r="R21" s="61" t="s">
        <v>90</v>
      </c>
    </row>
    <row r="22" spans="2:19" ht="43.2" x14ac:dyDescent="0.3">
      <c r="B22" s="50" t="s">
        <v>77</v>
      </c>
      <c r="C22" s="51">
        <v>18</v>
      </c>
      <c r="D22" s="50" t="s">
        <v>91</v>
      </c>
      <c r="E22" s="50"/>
      <c r="F22" s="52"/>
      <c r="G22" s="25" t="s">
        <v>93</v>
      </c>
      <c r="H22" s="25">
        <f>IF(TBL_Openings5[[#This Row],[Answer]]="Yes, very frequently",4,IF(TBL_Openings5[[#This Row],[Answer]]="Yes, every quarter",3,IF(TBL_Openings5[[#This Row],[Answer]]="Yes, every month",2,IF(TBL_Openings5[[#This Row],[Answer]]="No, this is a constant demand",1,0))))</f>
        <v>0</v>
      </c>
      <c r="J22" s="70">
        <f>IF(TBL_Openings5[[#This Row],[Answer]]="Yes, very frequently",4,IF(TBL_Openings5[[#This Row],[Answer]]="Yes, every quarter",3,IF(TBL_Openings5[[#This Row],[Answer]]="Yes, every month",2,IF(TBL_Openings5[[#This Row],[Answer]]="No, this is a constant demand",1,0))))</f>
        <v>0</v>
      </c>
      <c r="L22" s="41"/>
      <c r="M22" s="49"/>
      <c r="N22" s="49" t="s">
        <v>50</v>
      </c>
      <c r="O22" s="49"/>
      <c r="P22" s="49"/>
      <c r="Q22" s="53"/>
      <c r="R22" s="53"/>
    </row>
    <row r="23" spans="2:19" ht="27.6" x14ac:dyDescent="0.3">
      <c r="B23" s="50" t="s">
        <v>77</v>
      </c>
      <c r="C23" s="51">
        <v>19</v>
      </c>
      <c r="D23" s="50" t="s">
        <v>94</v>
      </c>
      <c r="E23" s="71"/>
      <c r="F23" s="52"/>
      <c r="G23" s="25" t="s">
        <v>93</v>
      </c>
      <c r="H23" s="25">
        <f>IF(OR(TBL_Openings5[[#This Row],[Answer]]="More than 100%",TBL_Openings5[[#This Row],[Answer]]="96-100%",TBL_Openings5[[#This Row],[Answer]]="91-95%",TBL_Openings5[[#This Row],[Answer]]="86-90%",TBL_Openings5[[#This Row],[Answer]]="81-85%",TBL_Openings5[[#This Row],[Answer]]="76-80%",TBL_Openings5[[#This Row],[Answer]]="71-75%",TBL_Openings5[[#This Row],[Answer]]="66-70%"),4,IF(OR(TBL_Openings5[[#This Row],[Answer]]="61-65%",TBL_Openings5[[#This Row],[Answer]]="56-60%",TBL_Openings5[[#This Row],[Answer]]="51-55%",TBL_Openings5[[#This Row],[Answer]]="46-50%",TBL_Openings5[[#This Row],[Answer]]="61-65%",TBL_Openings5[[#This Row],[Answer]]="56-60%",TBL_Openings5[[#This Row],[Answer]]="51-55%",TBL_Openings5[[#This Row],[Answer]]="46-50%", TBL_Openings5[[#This Row],[Answer]]="41-45%"),3,IF(OR(TBL_Openings5[[#This Row],[Answer]]="36-40%",TBL_Openings5[[#This Row],[Answer]]="31-35%",TBL_Openings5[[#This Row],[Answer]]="26-30%",TBL_Openings5[[#This Row],[Answer]]="21-25%"),2,IF(OR(TBL_Openings5[[#This Row],[Answer]]="16-20%",TBL_Openings5[[#This Row],[Answer]]="11-15%",TBL_Openings5[[#This Row],[Answer]]="6-10%",TBL_Openings5[[#This Row],[Answer]]="1-5%",TBL_Openings5[[#This Row],[Answer]]="0%"),1,0))))</f>
        <v>0</v>
      </c>
      <c r="J23" s="25">
        <f>IF(OR(TBL_Openings5[[#This Row],[Answer]]="More than 100%",TBL_Openings5[[#This Row],[Answer]]="96-100%",TBL_Openings5[[#This Row],[Answer]]="91-95%",TBL_Openings5[[#This Row],[Answer]]="86-90%",TBL_Openings5[[#This Row],[Answer]]="81-85%",TBL_Openings5[[#This Row],[Answer]]="76-80%",TBL_Openings5[[#This Row],[Answer]]="71-75%",TBL_Openings5[[#This Row],[Answer]]="66-70%"),4,IF(OR(TBL_Openings5[[#This Row],[Answer]]="61-65%",TBL_Openings5[[#This Row],[Answer]]="56-60%",TBL_Openings5[[#This Row],[Answer]]="51-55%",TBL_Openings5[[#This Row],[Answer]]="46-50%",TBL_Openings5[[#This Row],[Answer]]="61-65%",TBL_Openings5[[#This Row],[Answer]]="56-60%",TBL_Openings5[[#This Row],[Answer]]="51-55%",TBL_Openings5[[#This Row],[Answer]]="46-50%", TBL_Openings5[[#This Row],[Answer]]="41-45%"),3,IF(OR(TBL_Openings5[[#This Row],[Answer]]="36-40%",TBL_Openings5[[#This Row],[Answer]]="31-35%",TBL_Openings5[[#This Row],[Answer]]="26-30%",TBL_Openings5[[#This Row],[Answer]]="21-25%"),2,IF(OR(TBL_Openings5[[#This Row],[Answer]]="16-20%",TBL_Openings5[[#This Row],[Answer]]="11-15%",TBL_Openings5[[#This Row],[Answer]]="6-10%",TBL_Openings5[[#This Row],[Answer]]="1-5%",TBL_Openings5[[#This Row],[Answer]]="0%"),1,0))))</f>
        <v>0</v>
      </c>
      <c r="L23" s="41"/>
      <c r="M23" s="49"/>
      <c r="N23" s="49"/>
      <c r="O23" s="49"/>
      <c r="P23" s="49"/>
      <c r="Q23" s="53"/>
      <c r="R23" s="53"/>
    </row>
    <row r="24" spans="2:19" ht="43.2" x14ac:dyDescent="0.3">
      <c r="B24" s="50" t="s">
        <v>77</v>
      </c>
      <c r="C24" s="51">
        <v>20</v>
      </c>
      <c r="D24" s="50" t="s">
        <v>96</v>
      </c>
      <c r="E24" s="50"/>
      <c r="F24" s="52"/>
      <c r="H24" s="25">
        <f>IF(TBL_Openings5[[#This Row],[Answer]]="Increasing Trend",3,IF(TBL_Openings5[[#This Row],[Answer]]="Considerably Stable Trend",2,IF(TBL_Openings5[[#This Row],[Answer]]="Decreasing Trend",1,0)))</f>
        <v>0</v>
      </c>
      <c r="J24" s="70">
        <f>IF(TBL_Openings5[[#This Row],[Answer]]="Increasing Trend",3,IF(TBL_Openings5[[#This Row],[Answer]]="Considerably Stable Trend",2,IF(TBL_Openings5[[#This Row],[Answer]]="Decreasing Trend",1,0)))</f>
        <v>0</v>
      </c>
      <c r="L24" s="41"/>
      <c r="M24" s="49"/>
      <c r="N24" s="49" t="s">
        <v>49</v>
      </c>
      <c r="O24" s="49"/>
      <c r="P24" s="49"/>
      <c r="Q24" s="53"/>
      <c r="R24" s="61">
        <v>1</v>
      </c>
    </row>
    <row r="25" spans="2:19" ht="86.4" x14ac:dyDescent="0.3">
      <c r="B25" s="50" t="s">
        <v>77</v>
      </c>
      <c r="C25" s="51">
        <v>21</v>
      </c>
      <c r="D25" s="50" t="s">
        <v>98</v>
      </c>
      <c r="E25" s="50"/>
      <c r="F25" s="52"/>
      <c r="H25" s="25">
        <f>IF(TBL_Openings5[[#This Row],[Answer]]="Very High",4,IF(TBL_Openings5[[#This Row],[Answer]]="High",3,IF(TBL_Openings5[[#This Row],[Answer]]="Low",2,IF(TBL_Openings5[[#This Row],[Answer]]="Very Low",1,0))))</f>
        <v>0</v>
      </c>
      <c r="J25" s="25">
        <f>IF(TBL_Openings5[[#This Row],[Answer]]="Very High",4,IF(TBL_Openings5[[#This Row],[Answer]]="High",3,IF(TBL_Openings5[[#This Row],[Answer]]="Low",2,IF(TBL_Openings5[[#This Row],[Answer]]="Very Low",1,0))))</f>
        <v>0</v>
      </c>
      <c r="L25" s="41"/>
      <c r="M25" s="49">
        <v>4</v>
      </c>
      <c r="N25" s="49" t="s">
        <v>62</v>
      </c>
      <c r="O25" s="72"/>
      <c r="P25" s="72"/>
      <c r="Q25" s="53"/>
      <c r="R25" s="61">
        <v>1</v>
      </c>
    </row>
    <row r="26" spans="2:19" ht="43.2" x14ac:dyDescent="0.3">
      <c r="B26" s="50" t="s">
        <v>55</v>
      </c>
      <c r="C26" s="51">
        <v>22</v>
      </c>
      <c r="D26" s="50" t="s">
        <v>100</v>
      </c>
      <c r="E26" s="50"/>
      <c r="F26" s="52"/>
      <c r="H26" s="25">
        <f>IF(TBL_Openings5[[#This Row],[Answer]]="Very High",4,IF(TBL_Openings5[[#This Row],[Answer]]="High",3,IF(TBL_Openings5[[#This Row],[Answer]]="Low",2,IF(TBL_Openings5[[#This Row],[Answer]]="Very Low",1,0))))</f>
        <v>0</v>
      </c>
      <c r="J26" s="25">
        <f>IF(TBL_Openings5[[#This Row],[Answer]]="Very High",4,IF(TBL_Openings5[[#This Row],[Answer]]="High",3,IF(TBL_Openings5[[#This Row],[Answer]]="Low",2,IF(TBL_Openings5[[#This Row],[Answer]]="Very Low",1,0))))</f>
        <v>0</v>
      </c>
      <c r="L26" s="41"/>
      <c r="M26" s="49">
        <v>4</v>
      </c>
      <c r="N26" s="49" t="s">
        <v>62</v>
      </c>
      <c r="O26" s="49"/>
      <c r="P26" s="49"/>
      <c r="Q26" s="53"/>
      <c r="R26" s="61">
        <v>1</v>
      </c>
    </row>
    <row r="27" spans="2:19" ht="45" customHeight="1" x14ac:dyDescent="0.3">
      <c r="B27" s="50" t="s">
        <v>77</v>
      </c>
      <c r="C27" s="51">
        <v>23</v>
      </c>
      <c r="D27" s="50" t="s">
        <v>101</v>
      </c>
      <c r="E27" s="50"/>
      <c r="F27" s="52"/>
      <c r="G27" s="25" t="s">
        <v>103</v>
      </c>
      <c r="H27" s="25">
        <f>IF(TBL_Openings5[[#This Row],[Answer]]="No frequent updates for the application",4,IF(TBL_Openings5[[#This Row],[Answer]]="Yearly one or two minor updates for application",3,IF(TBL_Openings5[[#This Row],[Answer]]="Yearly one or two major updates for application",2,IF(TBL_Openings5[[#This Row],[Answer]]="Frequent updates for the applications",1,0))))</f>
        <v>0</v>
      </c>
      <c r="J27" s="25">
        <f>IF(TBL_Openings5[[#This Row],[Answer]]="No frequent updates for the application",4,IF(TBL_Openings5[[#This Row],[Answer]]="Yearly one or two minor updates for application",3,IF(TBL_Openings5[[#This Row],[Answer]]="Yearly one or two major updates for application",2,IF(TBL_Openings5[[#This Row],[Answer]]="Frequent updates for the applications",1,0))))</f>
        <v>0</v>
      </c>
      <c r="L27" s="41"/>
      <c r="M27" s="49">
        <v>4</v>
      </c>
      <c r="N27" s="49" t="s">
        <v>53</v>
      </c>
      <c r="O27" s="49"/>
      <c r="P27" s="49"/>
      <c r="Q27" s="53"/>
      <c r="R27" s="61" t="s">
        <v>66</v>
      </c>
    </row>
    <row r="28" spans="2:19" ht="14.4" x14ac:dyDescent="0.3">
      <c r="B28" s="41"/>
      <c r="C28" s="41"/>
      <c r="D28" s="73"/>
      <c r="E28" s="74"/>
      <c r="F28" s="26" t="s">
        <v>104</v>
      </c>
      <c r="H28" s="25">
        <f>SUM(H8:H27)</f>
        <v>0</v>
      </c>
      <c r="L28" s="41"/>
      <c r="M28" s="29">
        <v>53</v>
      </c>
      <c r="N28" s="29">
        <v>41</v>
      </c>
      <c r="Q28" s="29" t="s">
        <v>105</v>
      </c>
      <c r="R28" s="29" t="b">
        <f>IF(OR(H16=1,H16=2,H18=1,H20=1,H21=1,H21=2,H21=3,H24=1,H25=1,H26=1,H16=2,H27=1,H27=2),"Clearly assess ROI before automation for clear benefit realization")</f>
        <v>0</v>
      </c>
    </row>
    <row r="29" spans="2:19" ht="82.8" x14ac:dyDescent="0.3">
      <c r="B29" s="41"/>
      <c r="C29" s="41"/>
      <c r="D29" s="73"/>
      <c r="E29" s="74"/>
      <c r="R29" s="29" t="s">
        <v>106</v>
      </c>
    </row>
    <row r="30" spans="2:19" ht="42" customHeight="1" x14ac:dyDescent="0.3">
      <c r="B30" s="41"/>
      <c r="C30" s="41"/>
      <c r="D30" s="73"/>
      <c r="E30" s="74"/>
    </row>
  </sheetData>
  <autoFilter ref="M4:R4" xr:uid="{10D25381-6212-42EA-B30A-CF14DC300551}"/>
  <conditionalFormatting sqref="E8:E9">
    <cfRule type="cellIs" dxfId="73" priority="59" operator="equal">
      <formula>"Highly Repetitive and No Errors"</formula>
    </cfRule>
    <cfRule type="cellIs" dxfId="72" priority="60" operator="equal">
      <formula>"Highly Repetitive and Low Error Rate"</formula>
    </cfRule>
    <cfRule type="cellIs" dxfId="71" priority="61" operator="equal">
      <formula>"Highly Repetitive and High Error Rate"</formula>
    </cfRule>
    <cfRule type="cellIs" dxfId="70" priority="62" operator="equal">
      <formula>"Highly Repetitive and Moderate Error Rate"</formula>
    </cfRule>
  </conditionalFormatting>
  <conditionalFormatting sqref="E9">
    <cfRule type="cellIs" dxfId="69" priority="55" operator="equal">
      <formula>"Low Rate of Error and Low Impact"</formula>
    </cfRule>
    <cfRule type="cellIs" dxfId="68" priority="56" operator="equal">
      <formula>"Low Rate of Error and High/Moderate Impact"</formula>
    </cfRule>
    <cfRule type="cellIs" dxfId="67" priority="57" operator="equal">
      <formula>"Medium Rate of Error and High/Moderate Impact"</formula>
    </cfRule>
    <cfRule type="cellIs" dxfId="66" priority="58" operator="equal">
      <formula>"High Rate of Error and High/Moderate Impact"</formula>
    </cfRule>
  </conditionalFormatting>
  <conditionalFormatting sqref="E10:E11 E7">
    <cfRule type="cellIs" dxfId="65" priority="52" operator="equal">
      <formula>"High variations and not documented process"</formula>
    </cfRule>
    <cfRule type="cellIs" dxfId="64" priority="53" operator="equal">
      <formula>"Less variations and not documented process"</formula>
    </cfRule>
    <cfRule type="cellIs" dxfId="63" priority="54" operator="equal">
      <formula>"Standardized Process with no variations"</formula>
    </cfRule>
  </conditionalFormatting>
  <conditionalFormatting sqref="E9:E11 E14">
    <cfRule type="cellIs" dxfId="62" priority="50" operator="equal">
      <formula>"Un-Structured Business rule or manual judgement for decision making"</formula>
    </cfRule>
    <cfRule type="cellIs" dxfId="61" priority="51" operator="equal">
      <formula>"Structured Business rules for decision making"</formula>
    </cfRule>
  </conditionalFormatting>
  <conditionalFormatting sqref="E14">
    <cfRule type="cellIs" dxfId="60" priority="47" operator="equal">
      <formula>"Input is Digital but Output is not Digital"</formula>
    </cfRule>
    <cfRule type="cellIs" dxfId="59" priority="48" operator="equal">
      <formula>"Input is not Digital but Output is Digital"</formula>
    </cfRule>
    <cfRule type="cellIs" dxfId="58" priority="49" operator="equal">
      <formula>"Input is Digital and Output is Digital"</formula>
    </cfRule>
  </conditionalFormatting>
  <conditionalFormatting sqref="E25:E26 E16:E17">
    <cfRule type="cellIs" dxfId="57" priority="46" operator="equal">
      <formula>"Very High"</formula>
    </cfRule>
  </conditionalFormatting>
  <conditionalFormatting sqref="E25:E26 E16:E17">
    <cfRule type="cellIs" dxfId="56" priority="45" operator="equal">
      <formula>"High"</formula>
    </cfRule>
  </conditionalFormatting>
  <conditionalFormatting sqref="E25:E26 E16:E17">
    <cfRule type="cellIs" dxfId="55" priority="44" operator="equal">
      <formula>"Low"</formula>
    </cfRule>
  </conditionalFormatting>
  <conditionalFormatting sqref="E25:E26 E16:E17">
    <cfRule type="cellIs" dxfId="54" priority="43" operator="equal">
      <formula>"Very Low"</formula>
    </cfRule>
  </conditionalFormatting>
  <conditionalFormatting sqref="E21:E25">
    <cfRule type="cellIs" dxfId="53" priority="40" operator="equal">
      <formula>"Monthly"</formula>
    </cfRule>
    <cfRule type="cellIs" dxfId="52" priority="42" operator="equal">
      <formula>"Daily"</formula>
    </cfRule>
  </conditionalFormatting>
  <conditionalFormatting sqref="E5:E27">
    <cfRule type="cellIs" dxfId="51" priority="37" operator="equal">
      <formula>"Depending upon Input another workflow gets triggerd"</formula>
    </cfRule>
    <cfRule type="cellIs" dxfId="50" priority="38" operator="equal">
      <formula>"Input is paper based"</formula>
    </cfRule>
    <cfRule type="cellIs" dxfId="49" priority="39" operator="equal">
      <formula>"Repetetive UI steps on screen"</formula>
    </cfRule>
  </conditionalFormatting>
  <conditionalFormatting sqref="E27">
    <cfRule type="cellIs" dxfId="48" priority="33" operator="equal">
      <formula>"Frequent updates for the applications"</formula>
    </cfRule>
    <cfRule type="cellIs" dxfId="47" priority="34" operator="equal">
      <formula>"Yearly one or two major updates for application"</formula>
    </cfRule>
    <cfRule type="cellIs" dxfId="46" priority="35" operator="equal">
      <formula>"Yearly one or two minor updates for application"</formula>
    </cfRule>
    <cfRule type="cellIs" dxfId="45" priority="36" operator="equal">
      <formula>"No frequent updates for the application"</formula>
    </cfRule>
  </conditionalFormatting>
  <conditionalFormatting sqref="E11">
    <cfRule type="cellIs" dxfId="44" priority="29" operator="equal">
      <formula>"Input and Output both are not Standardized"</formula>
    </cfRule>
    <cfRule type="cellIs" dxfId="43" priority="30" operator="equal">
      <formula>"Input is not Standardized but Output is Standardized"</formula>
    </cfRule>
    <cfRule type="cellIs" dxfId="42" priority="31" operator="equal">
      <formula>"Input is Standardized but Output is not Standardized"</formula>
    </cfRule>
    <cfRule type="cellIs" dxfId="41" priority="32" operator="equal">
      <formula>"Input is Standardized and Output is Standardized"</formula>
    </cfRule>
  </conditionalFormatting>
  <conditionalFormatting sqref="E20:E26">
    <cfRule type="cellIs" dxfId="40" priority="26" operator="equal">
      <formula>"Less than 10 different screens are involved"</formula>
    </cfRule>
    <cfRule type="cellIs" dxfId="39" priority="27" operator="equal">
      <formula>"Less than 20 and more than 10 different screens are involved"</formula>
    </cfRule>
    <cfRule type="cellIs" dxfId="38" priority="28" operator="equal">
      <formula>"More than 20 different screens are involved"</formula>
    </cfRule>
  </conditionalFormatting>
  <conditionalFormatting sqref="E18:E19">
    <cfRule type="cellIs" dxfId="37" priority="23" operator="equal">
      <formula>"No, only one application/system in involved"</formula>
    </cfRule>
    <cfRule type="cellIs" dxfId="36" priority="24" operator="equal">
      <formula>"Yes, less than 5 applications/systems are involved"</formula>
    </cfRule>
    <cfRule type="cellIs" dxfId="35" priority="25" operator="equal">
      <formula>"Yes, more than 5 applications/systems are involved"</formula>
    </cfRule>
  </conditionalFormatting>
  <conditionalFormatting sqref="E22:E24">
    <cfRule type="cellIs" dxfId="34" priority="19" operator="equal">
      <formula>"No, this is a constant demand"</formula>
    </cfRule>
    <cfRule type="cellIs" dxfId="33" priority="20" operator="equal">
      <formula>"Yes, every month"</formula>
    </cfRule>
    <cfRule type="cellIs" dxfId="32" priority="21" operator="equal">
      <formula>"Yes, every quarter"</formula>
    </cfRule>
    <cfRule type="cellIs" dxfId="31" priority="22" operator="equal">
      <formula>"Yes, very frequently"</formula>
    </cfRule>
  </conditionalFormatting>
  <conditionalFormatting sqref="E5:E6 E12:E13">
    <cfRule type="cellIs" dxfId="30" priority="17" operator="equal">
      <formula>"Yes"</formula>
    </cfRule>
    <cfRule type="cellIs" dxfId="29" priority="18" operator="equal">
      <formula>"No"</formula>
    </cfRule>
  </conditionalFormatting>
  <conditionalFormatting sqref="E7">
    <cfRule type="cellIs" dxfId="28" priority="14" operator="equal">
      <formula>"Process is Standarized with no variations"</formula>
    </cfRule>
    <cfRule type="cellIs" dxfId="27" priority="15" operator="equal">
      <formula>"Process is not Standarized and less variations"</formula>
    </cfRule>
    <cfRule type="cellIs" dxfId="26" priority="16" operator="equal">
      <formula>"Process is not Standarized and high variations"</formula>
    </cfRule>
  </conditionalFormatting>
  <conditionalFormatting sqref="E19">
    <cfRule type="cellIs" dxfId="25" priority="1" operator="equal">
      <formula>"No"</formula>
    </cfRule>
    <cfRule type="cellIs" dxfId="24" priority="10" operator="equal">
      <formula>"Both"</formula>
    </cfRule>
    <cfRule type="cellIs" dxfId="23" priority="11" operator="equal">
      <formula>"Yes, accessed through Remote Desktop Connection"</formula>
    </cfRule>
    <cfRule type="cellIs" dxfId="22" priority="12" operator="equal">
      <formula>"Yes, accessed through Citrix"</formula>
    </cfRule>
    <cfRule type="cellIs" dxfId="21" priority="13" operator="equal">
      <formula>"Yes"</formula>
    </cfRule>
  </conditionalFormatting>
  <conditionalFormatting sqref="E21">
    <cfRule type="cellIs" dxfId="20" priority="5" operator="equal">
      <formula>"Quarterly"</formula>
    </cfRule>
    <cfRule type="cellIs" dxfId="19" priority="6" operator="equal">
      <formula>"Fortnightly"</formula>
    </cfRule>
    <cfRule type="cellIs" dxfId="18" priority="7" operator="equal">
      <formula>"Half-yearly"</formula>
    </cfRule>
    <cfRule type="cellIs" dxfId="17" priority="8" operator="equal">
      <formula>"Annual"</formula>
    </cfRule>
    <cfRule type="cellIs" dxfId="16" priority="9" operator="equal">
      <formula>"AdHoc"</formula>
    </cfRule>
    <cfRule type="cellIs" dxfId="15" priority="41" operator="equal">
      <formula>"Weekly"</formula>
    </cfRule>
  </conditionalFormatting>
  <conditionalFormatting sqref="E24">
    <cfRule type="cellIs" dxfId="14" priority="2" operator="equal">
      <formula>"Increasing Trend"</formula>
    </cfRule>
    <cfRule type="cellIs" dxfId="13" priority="3" operator="equal">
      <formula>"Considerably Stable Trend"</formula>
    </cfRule>
    <cfRule type="cellIs" dxfId="12" priority="4" operator="equal">
      <formula>"Decreasing Trend"</formula>
    </cfRule>
  </conditionalFormatting>
  <dataValidations count="28">
    <dataValidation allowBlank="1" showErrorMessage="1" prompt="Enter name of job opening in this column under this heading" sqref="B5:B6" xr:uid="{70AC9E82-44AD-40F3-B011-B361510A39D4}"/>
    <dataValidation type="list" allowBlank="1" showInputMessage="1" showErrorMessage="1" sqref="E24" xr:uid="{D48018EB-85B9-4866-A90B-DB291BF0BBBB}">
      <formula1>Trend</formula1>
    </dataValidation>
    <dataValidation type="list" allowBlank="1" showInputMessage="1" showErrorMessage="1" sqref="E19" xr:uid="{1C303077-C0A1-4400-8FCC-02D4205134D4}">
      <formula1>Citrix_Remote</formula1>
    </dataValidation>
    <dataValidation type="list" allowBlank="1" showErrorMessage="1" prompt="Enter salary level in this column under this heading" sqref="E5:E6 E12:E13" xr:uid="{7ECE770C-83B5-4C17-8651-80731B9797AC}">
      <formula1>Yes_No</formula1>
    </dataValidation>
    <dataValidation type="list" allowBlank="1" showInputMessage="1" showErrorMessage="1" prompt="Enter salary level in this column under this heading" sqref="E7" xr:uid="{F64BC4F8-2A44-4333-BCCB-AD7616D69B32}">
      <formula1>Standardization_2</formula1>
    </dataValidation>
    <dataValidation type="list" allowBlank="1" showInputMessage="1" showErrorMessage="1" sqref="E23" xr:uid="{4E6D80CB-616F-4D29-A398-C1C51DBA80CB}">
      <formula1>Volume</formula1>
    </dataValidation>
    <dataValidation type="list" allowBlank="1" showInputMessage="1" showErrorMessage="1" sqref="E21" xr:uid="{216EA3A3-8C9C-4BDE-92EF-80B6798E138D}">
      <formula1>Frequency</formula1>
    </dataValidation>
    <dataValidation type="list" allowBlank="1" showInputMessage="1" showErrorMessage="1" sqref="E14" xr:uid="{FEFB5133-1D88-455F-8E1E-D2DD6D1CDC0E}">
      <formula1>Input_Types</formula1>
    </dataValidation>
    <dataValidation type="list" allowBlank="1" showInputMessage="1" showErrorMessage="1" sqref="E10 E7" xr:uid="{036E83D0-3293-4354-8ED4-C65B149F266A}">
      <formula1>Standardization_2</formula1>
    </dataValidation>
    <dataValidation type="list" allowBlank="1" showInputMessage="1" showErrorMessage="1" sqref="E10" xr:uid="{1F178924-76E0-4979-8381-1DD94A8EDEC4}">
      <formula1>Standardization_4</formula1>
    </dataValidation>
    <dataValidation type="list" allowBlank="1" showInputMessage="1" showErrorMessage="1" sqref="E9" xr:uid="{D5308074-6D5E-4E2C-BC6D-1F5BA986FCD1}">
      <formula1>"Structured Business rules for decision making, Un-Structured Busienss rule or manual judgement for decision making"</formula1>
    </dataValidation>
    <dataValidation allowBlank="1" showInputMessage="1" showErrorMessage="1" prompt="Enter job opening details in this worksheet" sqref="A1" xr:uid="{A2A51796-EDDC-440E-AD46-2C619193D03A}"/>
    <dataValidation allowBlank="1" showInputMessage="1" showErrorMessage="1" prompt="Enter name of job opening in this column under this heading" sqref="B7" xr:uid="{C5A6328E-77AE-4A9E-A6E8-E5085BBF65D8}"/>
    <dataValidation allowBlank="1" showErrorMessage="1" prompt="Enter job description in this column under this heading" sqref="C5:C27" xr:uid="{8C085DAF-2EB9-4544-B98C-C42DDCCED6FD}"/>
    <dataValidation allowBlank="1" showErrorMessage="1" prompt="Enter required experience in this column under this heading" sqref="D5:D7" xr:uid="{297A19A5-315C-4223-AA35-3048D5CC37F0}"/>
    <dataValidation allowBlank="1" showErrorMessage="1" prompt="Enter notes in this column under this heading" sqref="F5:F7" xr:uid="{009FAB73-3BA4-43AC-AF61-6C8BECF5D524}"/>
    <dataValidation type="list" allowBlank="1" showInputMessage="1" showErrorMessage="1" sqref="E8:E9" xr:uid="{3E38A940-8F45-49B7-BCA3-0ADDC135396F}">
      <formula1>Process_Repetition_1</formula1>
    </dataValidation>
    <dataValidation type="list" allowBlank="1" showInputMessage="1" showErrorMessage="1" sqref="E9" xr:uid="{EC412978-0409-4C7B-A631-48EB6D1FA6D0}">
      <formula1>Complexity_6</formula1>
    </dataValidation>
    <dataValidation type="list" allowBlank="1" showInputMessage="1" showErrorMessage="1" sqref="E11" xr:uid="{0F51E242-C260-46E5-BEBE-52879FE9B86A}">
      <formula1>"Standardised Process with no variations, Less variations and not documented process, High variations and not documented process"</formula1>
    </dataValidation>
    <dataValidation type="list" allowBlank="1" showInputMessage="1" showErrorMessage="1" sqref="E11" xr:uid="{5BE68E51-EAB5-4FB9-8ED3-363666EFF8CD}">
      <formula1>"Structured Busienss rules for decision making, Non structured Busienss rule or manual judgement for decision making"</formula1>
    </dataValidation>
    <dataValidation type="list" allowBlank="1" showInputMessage="1" showErrorMessage="1" sqref="E16 E25:E26" xr:uid="{56F7D0A9-8B53-411D-81DB-0B9798A75445}">
      <formula1>Common</formula1>
    </dataValidation>
    <dataValidation type="list" allowBlank="1" showInputMessage="1" showErrorMessage="1" sqref="E22" xr:uid="{C6C29086-52CB-498D-B368-4272B2434D0C}">
      <formula1>Effort_Planning_13</formula1>
    </dataValidation>
    <dataValidation type="list" allowBlank="1" showInputMessage="1" showErrorMessage="1" sqref="E15" xr:uid="{00600298-4A76-4381-875D-2F2674E9B341}">
      <formula1>Complexity_7</formula1>
    </dataValidation>
    <dataValidation type="list" allowBlank="1" showInputMessage="1" showErrorMessage="1" sqref="E27" xr:uid="{2DA42978-5E29-4EAC-85D8-D66C0495707D}">
      <formula1>Effort_Planning_12</formula1>
    </dataValidation>
    <dataValidation type="list" allowBlank="1" showInputMessage="1" showErrorMessage="1" sqref="E11" xr:uid="{6A953B15-1968-4335-BC84-5EF47A9400CE}">
      <formula1>Standardization_3</formula1>
    </dataValidation>
    <dataValidation type="list" allowBlank="1" showInputMessage="1" showErrorMessage="1" sqref="E20" xr:uid="{796DA33B-DAB1-402F-85EF-6A203D199F94}">
      <formula1>Complexity_9</formula1>
    </dataValidation>
    <dataValidation type="list" allowBlank="1" showInputMessage="1" showErrorMessage="1" sqref="E18" xr:uid="{BB39ED09-294D-4B99-B7BF-9F3BF1D6AD5D}">
      <formula1>Complexity_8</formula1>
    </dataValidation>
    <dataValidation type="list" allowBlank="1" showInputMessage="1" showErrorMessage="1" sqref="E22" xr:uid="{125DB183-4E36-4D48-B330-BF04DCE04120}">
      <formula1>Effort_Planning_14</formula1>
    </dataValidation>
  </dataValidations>
  <pageMargins left="0.3" right="0.3" top="0.5" bottom="0.5" header="0.3" footer="0.3"/>
  <pageSetup orientation="landscape"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D3022-946A-4BC7-9CFF-CD1975D91EDE}">
  <sheetPr codeName="Sheet7">
    <tabColor theme="9" tint="0.39997558519241921"/>
  </sheetPr>
  <dimension ref="B1:I25"/>
  <sheetViews>
    <sheetView showGridLines="0" showRowColHeaders="0" tabSelected="1" zoomScale="89" zoomScaleNormal="89" workbookViewId="0">
      <selection activeCell="F10" sqref="F10"/>
    </sheetView>
  </sheetViews>
  <sheetFormatPr defaultColWidth="10" defaultRowHeight="21" customHeight="1" x14ac:dyDescent="0.3"/>
  <cols>
    <col min="1" max="1" width="1.6640625" style="76" customWidth="1"/>
    <col min="2" max="2" width="25.109375" style="75" customWidth="1"/>
    <col min="3" max="3" width="31.21875" style="76" customWidth="1"/>
    <col min="4" max="4" width="2.44140625" style="76" customWidth="1"/>
    <col min="5" max="5" width="28.44140625" style="77" customWidth="1"/>
    <col min="6" max="6" width="21" style="76" customWidth="1"/>
    <col min="7" max="7" width="2.44140625" style="76" customWidth="1"/>
    <col min="8" max="8" width="29.44140625" style="77" customWidth="1"/>
    <col min="9" max="9" width="23.33203125" style="76" customWidth="1"/>
    <col min="10" max="16384" width="10" style="76"/>
  </cols>
  <sheetData>
    <row r="1" spans="2:9" ht="9" customHeight="1" x14ac:dyDescent="0.3"/>
    <row r="2" spans="2:9" ht="86.25" customHeight="1" x14ac:dyDescent="0.3"/>
    <row r="3" spans="2:9" ht="9" customHeight="1" x14ac:dyDescent="0.3"/>
    <row r="4" spans="2:9" s="81" customFormat="1" ht="14.4" x14ac:dyDescent="0.3">
      <c r="B4" s="78" t="s">
        <v>15</v>
      </c>
      <c r="C4" s="79"/>
      <c r="D4" s="80"/>
      <c r="E4" s="78" t="s">
        <v>16</v>
      </c>
      <c r="F4" s="79"/>
      <c r="G4" s="80"/>
      <c r="H4" s="78" t="s">
        <v>17</v>
      </c>
      <c r="I4" s="79"/>
    </row>
    <row r="5" spans="2:9" s="84" customFormat="1" ht="14.4" x14ac:dyDescent="0.3">
      <c r="B5" s="82"/>
      <c r="C5" s="83"/>
      <c r="D5" s="80"/>
      <c r="E5" s="82"/>
      <c r="F5" s="83"/>
      <c r="G5" s="80"/>
      <c r="H5" s="82"/>
      <c r="I5" s="83"/>
    </row>
    <row r="6" spans="2:9" s="85" customFormat="1" ht="28.5" customHeight="1" x14ac:dyDescent="0.3">
      <c r="B6" s="78" t="s">
        <v>18</v>
      </c>
      <c r="C6" s="157"/>
      <c r="D6" s="157"/>
      <c r="E6" s="157"/>
      <c r="F6" s="157"/>
      <c r="G6" s="157"/>
      <c r="H6" s="157"/>
      <c r="I6" s="157"/>
    </row>
    <row r="7" spans="2:9" s="87" customFormat="1" ht="14.4" x14ac:dyDescent="0.3">
      <c r="B7" s="82"/>
      <c r="C7" s="86"/>
      <c r="D7" s="80"/>
      <c r="E7" s="80"/>
      <c r="F7" s="80"/>
      <c r="G7" s="80"/>
      <c r="H7" s="80"/>
      <c r="I7" s="86"/>
    </row>
    <row r="8" spans="2:9" s="85" customFormat="1" ht="21" customHeight="1" x14ac:dyDescent="0.3">
      <c r="B8" s="88" t="s">
        <v>19</v>
      </c>
      <c r="C8" s="89"/>
      <c r="D8" s="80"/>
      <c r="E8" s="88" t="s">
        <v>20</v>
      </c>
      <c r="F8" s="89"/>
      <c r="G8" s="80"/>
      <c r="H8" s="88" t="s">
        <v>21</v>
      </c>
      <c r="I8" s="89"/>
    </row>
    <row r="9" spans="2:9" s="87" customFormat="1" ht="14.4" x14ac:dyDescent="0.3">
      <c r="B9" s="82"/>
      <c r="C9" s="83"/>
      <c r="D9" s="80"/>
      <c r="E9" s="82"/>
      <c r="F9" s="83"/>
      <c r="G9" s="80"/>
      <c r="H9" s="82"/>
      <c r="I9" s="83"/>
    </row>
    <row r="10" spans="2:9" s="85" customFormat="1" ht="21" customHeight="1" x14ac:dyDescent="0.3">
      <c r="B10" s="88" t="s">
        <v>22</v>
      </c>
      <c r="C10" s="89"/>
      <c r="D10" s="80"/>
      <c r="E10" s="88" t="s">
        <v>23</v>
      </c>
      <c r="F10" s="89"/>
      <c r="G10" s="80"/>
      <c r="H10" s="90"/>
      <c r="I10" s="90"/>
    </row>
    <row r="11" spans="2:9" s="87" customFormat="1" ht="14.4" x14ac:dyDescent="0.3">
      <c r="B11" s="82"/>
      <c r="C11" s="86"/>
      <c r="D11" s="80"/>
      <c r="E11" s="82"/>
      <c r="F11" s="90"/>
      <c r="G11" s="80"/>
      <c r="H11" s="86"/>
      <c r="I11" s="86"/>
    </row>
    <row r="12" spans="2:9" s="85" customFormat="1" ht="55.5" customHeight="1" x14ac:dyDescent="0.3">
      <c r="B12" s="78" t="s">
        <v>107</v>
      </c>
      <c r="C12" s="158"/>
      <c r="D12" s="158"/>
      <c r="E12" s="158"/>
      <c r="F12" s="158"/>
      <c r="G12" s="80"/>
      <c r="H12" s="78" t="s">
        <v>108</v>
      </c>
      <c r="I12" s="91"/>
    </row>
    <row r="13" spans="2:9" s="85" customFormat="1" ht="14.4" x14ac:dyDescent="0.3">
      <c r="B13" s="92"/>
      <c r="C13" s="93"/>
      <c r="D13" s="80"/>
      <c r="E13" s="92"/>
      <c r="F13" s="94"/>
      <c r="G13" s="80"/>
    </row>
    <row r="14" spans="2:9" s="85" customFormat="1" ht="20.25" customHeight="1" x14ac:dyDescent="0.3">
      <c r="B14" s="159" t="s">
        <v>109</v>
      </c>
      <c r="C14" s="160"/>
      <c r="D14" s="160"/>
      <c r="E14" s="160"/>
      <c r="F14" s="160"/>
      <c r="G14" s="160"/>
      <c r="H14" s="160"/>
      <c r="I14" s="160"/>
    </row>
    <row r="15" spans="2:9" s="85" customFormat="1" ht="20.25" customHeight="1" x14ac:dyDescent="0.3">
      <c r="B15" s="159"/>
      <c r="C15" s="161"/>
      <c r="D15" s="161"/>
      <c r="E15" s="161"/>
      <c r="F15" s="161"/>
      <c r="G15" s="161"/>
      <c r="H15" s="161"/>
      <c r="I15" s="161"/>
    </row>
    <row r="16" spans="2:9" s="87" customFormat="1" ht="14.4" x14ac:dyDescent="0.3">
      <c r="B16" s="82"/>
      <c r="C16" s="90"/>
      <c r="D16" s="80"/>
      <c r="E16" s="95"/>
      <c r="F16" s="90"/>
      <c r="G16" s="80"/>
      <c r="H16" s="95"/>
      <c r="I16" s="83"/>
    </row>
    <row r="17" spans="2:9" s="85" customFormat="1" ht="28.8" x14ac:dyDescent="0.3">
      <c r="B17" s="96" t="s">
        <v>110</v>
      </c>
      <c r="C17" s="97"/>
      <c r="D17" s="80"/>
      <c r="E17" s="96" t="s">
        <v>111</v>
      </c>
      <c r="F17" s="97"/>
      <c r="G17" s="80"/>
      <c r="H17" s="96" t="s">
        <v>112</v>
      </c>
      <c r="I17" s="97"/>
    </row>
    <row r="18" spans="2:9" s="101" customFormat="1" ht="14.4" x14ac:dyDescent="0.3">
      <c r="B18" s="98"/>
      <c r="C18" s="99"/>
      <c r="D18" s="100"/>
      <c r="E18" s="98"/>
      <c r="F18" s="99"/>
      <c r="G18" s="100"/>
      <c r="H18" s="98"/>
      <c r="I18" s="99">
        <f>'[1]Process Profile'!I19</f>
        <v>0</v>
      </c>
    </row>
    <row r="19" spans="2:9" s="85" customFormat="1" ht="21" customHeight="1" x14ac:dyDescent="0.3">
      <c r="B19" s="88" t="s">
        <v>113</v>
      </c>
      <c r="C19" s="97"/>
      <c r="D19" s="80"/>
      <c r="E19" s="88" t="s">
        <v>114</v>
      </c>
      <c r="F19" s="102"/>
      <c r="G19" s="80"/>
      <c r="H19" s="92"/>
      <c r="I19" s="90"/>
    </row>
    <row r="20" spans="2:9" s="85" customFormat="1" ht="21" customHeight="1" x14ac:dyDescent="0.3">
      <c r="B20" s="103"/>
      <c r="C20" s="103"/>
      <c r="D20" s="104"/>
      <c r="E20" s="105"/>
      <c r="F20" s="105"/>
      <c r="G20" s="105"/>
      <c r="H20" s="105"/>
      <c r="I20" s="106"/>
    </row>
    <row r="21" spans="2:9" s="85" customFormat="1" ht="21" customHeight="1" x14ac:dyDescent="0.3">
      <c r="D21" s="100"/>
      <c r="E21" s="92"/>
      <c r="F21" s="92"/>
      <c r="G21" s="92"/>
      <c r="H21" s="92"/>
      <c r="I21" s="90"/>
    </row>
    <row r="22" spans="2:9" s="110" customFormat="1" ht="14.4" x14ac:dyDescent="0.3">
      <c r="B22" s="107"/>
      <c r="C22" s="108"/>
      <c r="D22" s="108" t="s">
        <v>115</v>
      </c>
      <c r="E22" s="109" t="s">
        <v>116</v>
      </c>
      <c r="H22" s="111"/>
    </row>
    <row r="23" spans="2:9" s="110" customFormat="1" ht="21" customHeight="1" x14ac:dyDescent="0.3">
      <c r="B23" s="107"/>
      <c r="C23" s="112">
        <v>0</v>
      </c>
      <c r="E23" s="111"/>
      <c r="H23" s="111"/>
    </row>
    <row r="24" spans="2:9" s="110" customFormat="1" ht="21" customHeight="1" x14ac:dyDescent="0.3">
      <c r="B24" s="107"/>
      <c r="D24" s="110">
        <f>[1]Configurations!A8/9</f>
        <v>2.3703703703703702</v>
      </c>
      <c r="E24" s="111">
        <f>[1]Configurations!D8/8</f>
        <v>2.6666666666666665</v>
      </c>
      <c r="H24" s="111"/>
    </row>
    <row r="25" spans="2:9" s="110" customFormat="1" ht="21" customHeight="1" x14ac:dyDescent="0.3">
      <c r="B25" s="107"/>
      <c r="E25" s="111"/>
      <c r="H25" s="111"/>
    </row>
  </sheetData>
  <sheetProtection selectLockedCells="1"/>
  <mergeCells count="5">
    <mergeCell ref="C6:I6"/>
    <mergeCell ref="C12:F12"/>
    <mergeCell ref="B14:B15"/>
    <mergeCell ref="C14:I14"/>
    <mergeCell ref="C15:I15"/>
  </mergeCells>
  <dataValidations count="1">
    <dataValidation allowBlank="1" showInputMessage="1" showErrorMessage="1" prompt="Enter interviewer details in this worksheet" sqref="A1" xr:uid="{12A2CD95-C74C-4D4C-AB98-1D3CF4A5F1CB}"/>
  </dataValidations>
  <pageMargins left="0.3" right="0.3" top="0.5" bottom="0.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4CF-E624-415D-99CC-E5A25384E5D2}">
  <sheetPr codeName="Sheet11"/>
  <dimension ref="A1:T39"/>
  <sheetViews>
    <sheetView topLeftCell="A6" zoomScale="84" zoomScaleNormal="84" workbookViewId="0">
      <selection activeCell="B14" sqref="B14"/>
    </sheetView>
  </sheetViews>
  <sheetFormatPr defaultRowHeight="14.4" x14ac:dyDescent="0.3"/>
  <cols>
    <col min="1" max="1" width="39.5546875" customWidth="1"/>
    <col min="2" max="2" width="57.77734375" customWidth="1"/>
    <col min="3" max="3" width="14.33203125" customWidth="1"/>
    <col min="4" max="4" width="47.109375" customWidth="1"/>
    <col min="5" max="5" width="37.33203125" bestFit="1" customWidth="1"/>
    <col min="6" max="6" width="46.77734375" customWidth="1"/>
    <col min="7" max="7" width="64.109375" customWidth="1"/>
    <col min="8" max="8" width="44.6640625" bestFit="1" customWidth="1"/>
    <col min="9" max="9" width="34.88671875" customWidth="1"/>
    <col min="10" max="10" width="17.33203125" customWidth="1"/>
    <col min="11" max="11" width="45" bestFit="1" customWidth="1"/>
    <col min="12" max="12" width="19.109375" customWidth="1"/>
    <col min="13" max="13" width="29.88671875" customWidth="1"/>
    <col min="15" max="15" width="14" bestFit="1" customWidth="1"/>
  </cols>
  <sheetData>
    <row r="1" spans="1:20" x14ac:dyDescent="0.3">
      <c r="A1" s="113" t="s">
        <v>151</v>
      </c>
      <c r="J1" t="s">
        <v>152</v>
      </c>
    </row>
    <row r="2" spans="1:20" s="113" customFormat="1" x14ac:dyDescent="0.3">
      <c r="A2" s="113" t="s">
        <v>153</v>
      </c>
      <c r="B2" s="113" t="s">
        <v>154</v>
      </c>
      <c r="C2" s="113" t="s">
        <v>155</v>
      </c>
      <c r="D2" s="113" t="s">
        <v>156</v>
      </c>
      <c r="E2" s="113" t="s">
        <v>157</v>
      </c>
      <c r="F2" s="113" t="s">
        <v>158</v>
      </c>
      <c r="G2" s="113" t="s">
        <v>159</v>
      </c>
      <c r="H2" s="113" t="s">
        <v>160</v>
      </c>
      <c r="I2" s="113" t="s">
        <v>161</v>
      </c>
      <c r="J2" s="113" t="s">
        <v>162</v>
      </c>
      <c r="K2" s="68" t="s">
        <v>163</v>
      </c>
      <c r="L2" s="68" t="s">
        <v>164</v>
      </c>
      <c r="M2" s="68" t="s">
        <v>165</v>
      </c>
      <c r="N2" s="113" t="s">
        <v>166</v>
      </c>
      <c r="O2" s="113" t="s">
        <v>167</v>
      </c>
      <c r="P2" s="113" t="s">
        <v>168</v>
      </c>
      <c r="Q2" s="113" t="s">
        <v>169</v>
      </c>
      <c r="R2" s="113" t="s">
        <v>170</v>
      </c>
      <c r="S2" s="113" t="s">
        <v>171</v>
      </c>
      <c r="T2" s="113" t="s">
        <v>172</v>
      </c>
    </row>
    <row r="3" spans="1:20" x14ac:dyDescent="0.3">
      <c r="A3" s="119" t="s">
        <v>52</v>
      </c>
      <c r="B3" s="119" t="s">
        <v>48</v>
      </c>
      <c r="C3" s="119" t="s">
        <v>61</v>
      </c>
      <c r="D3" s="119" t="s">
        <v>59</v>
      </c>
      <c r="E3" s="119" t="s">
        <v>173</v>
      </c>
      <c r="F3" s="119" t="s">
        <v>174</v>
      </c>
      <c r="G3" s="119" t="s">
        <v>175</v>
      </c>
      <c r="H3" s="120" t="s">
        <v>176</v>
      </c>
      <c r="I3" s="120" t="s">
        <v>86</v>
      </c>
      <c r="J3" t="s">
        <v>76</v>
      </c>
      <c r="K3" s="119" t="s">
        <v>177</v>
      </c>
      <c r="L3" s="119" t="s">
        <v>88</v>
      </c>
      <c r="M3" s="120" t="s">
        <v>178</v>
      </c>
      <c r="N3" t="s">
        <v>30</v>
      </c>
      <c r="O3" t="s">
        <v>179</v>
      </c>
      <c r="P3" t="s">
        <v>180</v>
      </c>
      <c r="Q3" t="s">
        <v>28</v>
      </c>
      <c r="R3" s="121" t="s">
        <v>88</v>
      </c>
      <c r="S3" t="s">
        <v>97</v>
      </c>
      <c r="T3" t="s">
        <v>181</v>
      </c>
    </row>
    <row r="4" spans="1:20" x14ac:dyDescent="0.3">
      <c r="A4" s="119" t="s">
        <v>182</v>
      </c>
      <c r="B4" s="119" t="s">
        <v>183</v>
      </c>
      <c r="C4" s="119" t="s">
        <v>184</v>
      </c>
      <c r="D4" s="122" t="s">
        <v>185</v>
      </c>
      <c r="E4" s="123" t="s">
        <v>186</v>
      </c>
      <c r="F4" s="119" t="s">
        <v>57</v>
      </c>
      <c r="G4" s="124" t="s">
        <v>74</v>
      </c>
      <c r="H4" s="120" t="s">
        <v>187</v>
      </c>
      <c r="I4" s="119" t="s">
        <v>188</v>
      </c>
      <c r="J4" t="s">
        <v>189</v>
      </c>
      <c r="K4" s="119" t="s">
        <v>190</v>
      </c>
      <c r="L4" s="119" t="s">
        <v>191</v>
      </c>
      <c r="M4" s="125" t="s">
        <v>192</v>
      </c>
      <c r="N4" t="s">
        <v>28</v>
      </c>
      <c r="O4" t="s">
        <v>193</v>
      </c>
      <c r="P4" t="s">
        <v>194</v>
      </c>
      <c r="Q4" t="s">
        <v>195</v>
      </c>
      <c r="R4" s="121" t="s">
        <v>191</v>
      </c>
      <c r="S4" t="s">
        <v>196</v>
      </c>
      <c r="T4" t="s">
        <v>197</v>
      </c>
    </row>
    <row r="5" spans="1:20" ht="28.8" x14ac:dyDescent="0.3">
      <c r="A5" s="119" t="s">
        <v>198</v>
      </c>
      <c r="B5" s="119" t="s">
        <v>199</v>
      </c>
      <c r="C5" s="123" t="s">
        <v>200</v>
      </c>
      <c r="E5" s="124" t="s">
        <v>201</v>
      </c>
      <c r="F5" s="119" t="s">
        <v>202</v>
      </c>
      <c r="H5" s="126" t="s">
        <v>80</v>
      </c>
      <c r="I5" s="126" t="s">
        <v>203</v>
      </c>
      <c r="J5" t="s">
        <v>204</v>
      </c>
      <c r="K5" s="126" t="s">
        <v>102</v>
      </c>
      <c r="L5" s="119" t="s">
        <v>205</v>
      </c>
      <c r="M5" s="127" t="s">
        <v>92</v>
      </c>
      <c r="P5" t="s">
        <v>206</v>
      </c>
      <c r="Q5" t="s">
        <v>207</v>
      </c>
      <c r="R5" s="121" t="s">
        <v>208</v>
      </c>
      <c r="S5" t="s">
        <v>209</v>
      </c>
      <c r="T5" t="s">
        <v>210</v>
      </c>
    </row>
    <row r="6" spans="1:20" x14ac:dyDescent="0.3">
      <c r="A6" s="119" t="s">
        <v>211</v>
      </c>
      <c r="C6" s="124" t="s">
        <v>212</v>
      </c>
      <c r="F6" s="119" t="s">
        <v>213</v>
      </c>
      <c r="H6" s="121"/>
      <c r="J6" t="s">
        <v>99</v>
      </c>
      <c r="K6" s="126" t="s">
        <v>214</v>
      </c>
      <c r="L6" s="126" t="s">
        <v>215</v>
      </c>
      <c r="P6" t="s">
        <v>216</v>
      </c>
      <c r="Q6" t="s">
        <v>82</v>
      </c>
      <c r="R6" s="121" t="s">
        <v>205</v>
      </c>
      <c r="T6" s="128" t="s">
        <v>217</v>
      </c>
    </row>
    <row r="7" spans="1:20" s="128" customFormat="1" ht="129.6" x14ac:dyDescent="0.3">
      <c r="A7" s="129" t="s">
        <v>138</v>
      </c>
      <c r="B7" s="129" t="s">
        <v>142</v>
      </c>
      <c r="C7" s="129" t="s">
        <v>140</v>
      </c>
      <c r="D7" s="129" t="s">
        <v>139</v>
      </c>
      <c r="E7" s="129" t="s">
        <v>218</v>
      </c>
      <c r="F7" s="129" t="s">
        <v>147</v>
      </c>
      <c r="G7" s="129" t="s">
        <v>144</v>
      </c>
      <c r="H7" s="129" t="s">
        <v>141</v>
      </c>
      <c r="I7" s="129" t="s">
        <v>85</v>
      </c>
      <c r="K7" s="129" t="s">
        <v>150</v>
      </c>
      <c r="L7" s="129" t="s">
        <v>148</v>
      </c>
      <c r="M7" s="129" t="s">
        <v>91</v>
      </c>
      <c r="P7" s="130" t="s">
        <v>219</v>
      </c>
      <c r="R7" s="130" t="s">
        <v>220</v>
      </c>
      <c r="T7" s="131" t="s">
        <v>221</v>
      </c>
    </row>
    <row r="8" spans="1:20" s="131" customFormat="1" ht="43.2" x14ac:dyDescent="0.3">
      <c r="A8" s="35">
        <f>SUM([1]Questionaire!J25,[1]Questionaire!J26,[1]Questionaire!J9,[1]Questionaire!J8,[1]Questionaire!J21,(((([1]Questionaire!J22)/3*100)/100)*4),[1]Questionaire!J23,(((([1]Questionaire!J24)/3*100)/100)*4),[1]Questionaire!J27)</f>
        <v>21.333333333333332</v>
      </c>
      <c r="B8" s="132" t="str">
        <f>IF(A8&lt;10,"Very Low",IF(A8&lt;19,"Low",IF(A8&lt;28,"High",IF(A8&lt;37,"Very High","Very Low"))))</f>
        <v>High</v>
      </c>
      <c r="C8" s="131" t="s">
        <v>222</v>
      </c>
      <c r="D8" s="133">
        <f>SUM((((([1]Questionaire!J10)/2*100)/100)*4),[1]Questionaire!J11,(((([1]Questionaire!J12)/2*100)/100)*4),(((([1]Questionaire!J13)/2*100)/100)*4),[1]Questionaire!J16,(((([1]Questionaire!J18)/3*100)/100)*4),[1]Questionaire!J19,(((([1]Questionaire!J20)/3*100)/100)*4))</f>
        <v>21.333333333333332</v>
      </c>
      <c r="E8" s="134" t="str">
        <f>IF(D8&lt;9,"Very Low",IF(D8&lt;17,"Low",IF(D8&lt;25,"High",IF(D8&lt;33,"Very High","Very Low"))))</f>
        <v>High</v>
      </c>
      <c r="F8" s="37" t="s">
        <v>116</v>
      </c>
      <c r="G8" s="135"/>
      <c r="H8" s="40"/>
      <c r="I8" s="136"/>
      <c r="K8" s="136"/>
      <c r="L8" s="136"/>
      <c r="M8" s="136"/>
      <c r="P8" s="130" t="s">
        <v>72</v>
      </c>
      <c r="R8" s="130" t="s">
        <v>223</v>
      </c>
      <c r="T8" t="s">
        <v>224</v>
      </c>
    </row>
    <row r="9" spans="1:20" ht="15.6" x14ac:dyDescent="0.3">
      <c r="A9" s="137" t="s">
        <v>225</v>
      </c>
      <c r="B9" s="138" t="str">
        <f>IF(A8&lt;10,"Very Low",IF(A8&lt;19,"Low",IF(A8&lt;28,"High",IF(A8&lt;37,"Very High","Very Low"))))</f>
        <v>High</v>
      </c>
      <c r="C9" t="str">
        <f>IF(AND(OR([1]Questionaire!H11=1,[1]Questionaire!H13=1,[1]Questionaire!H15=1),[1]Questionaire!H10=1),"Recommended for Assisted Robotic Process Automation (Also called Desktop Automation) with other Digital Process Automation Technologies",(IF(AND(OR([1]Questionaire!H8=2,[1]Questionaire!H11=2),[1]Questionaire!H10=1),"Recommended for OCR With Assisted Robotic Process Automation (Also called Desktop Automation)",IF([1]Questionaire!H10=1,"Recommended for Assisted Robotic Process Automation (Also called Desktop Automation) or Robotic Process Automation with Artificial Intelligence",IF(AND(OR([1]Questionaire!H11=1,[1]Questionaire!H13=1,[1]Questionaire!H15=1),[1]Questionaire!H10&lt;&gt;1),"Recommended for Robotic Process Automation (Unassisted Automation) with other Digital Process Automation Technologies",(IF(AND(OR([1]Questionaire!H8=2,[1]Questionaire!H11=2),[1]Questionaire!H10&lt;&gt;1),"Recommended for OCR With Robotic Process Automation (Unassisted Automation)",IF([1]Questionaire!H10=1,"Recommended for Assisted Robotic Process Automation (Also called Desktop Automation) or Robotic Process Automation with Artificial Intelligence","Recommended for Robotic Process Automation (Unassisted Automation)"))))))))</f>
        <v>Recommended for Robotic Process Automation (Unassisted Automation) with other Digital Process Automation Technologies</v>
      </c>
      <c r="P9" t="s">
        <v>226</v>
      </c>
      <c r="R9" s="121" t="s">
        <v>227</v>
      </c>
      <c r="T9" t="s">
        <v>228</v>
      </c>
    </row>
    <row r="10" spans="1:20" ht="15.6" x14ac:dyDescent="0.3">
      <c r="A10" s="137" t="s">
        <v>55</v>
      </c>
      <c r="B10" s="139" t="str">
        <f>IF(D8&lt;9,"Very Low",IF(D8&lt;17,"Low",IF(D8&lt;25,"High",IF(D8&lt;33,"Very High","Very Low"))))</f>
        <v>High</v>
      </c>
      <c r="P10" t="s">
        <v>229</v>
      </c>
      <c r="R10" s="121" t="s">
        <v>230</v>
      </c>
      <c r="T10" t="s">
        <v>231</v>
      </c>
    </row>
    <row r="11" spans="1:20" ht="31.2" x14ac:dyDescent="0.3">
      <c r="A11" s="137" t="s">
        <v>112</v>
      </c>
      <c r="B11" s="140" t="str">
        <f>"Approximately " &amp; IF([1]Questionaire!E21="Daily", "one month",IF([1]Questionaire!E21="Weekly","one quarter",IF([1]Questionaire!E21="Fortnightly","two quaters",IF([1]Questionaire!E21="Quarterly","one - two years","more than two years"))))</f>
        <v>Approximately one month</v>
      </c>
      <c r="F11">
        <v>1</v>
      </c>
      <c r="G11">
        <v>12</v>
      </c>
      <c r="P11" t="s">
        <v>232</v>
      </c>
      <c r="T11" t="s">
        <v>233</v>
      </c>
    </row>
    <row r="12" spans="1:20" ht="64.5" customHeight="1" x14ac:dyDescent="0.3">
      <c r="A12" s="78" t="s">
        <v>107</v>
      </c>
      <c r="B12" s="141" t="str">
        <f>IF(AND(OR([1]Questionaire!H11=1,[1]Questionaire!H15=1),[1]Questionaire!H10=1,[1]Questionaire!H13=2),"Recommended for OCR with Assisted Robotic Process Automation (Also called Desktop Automation) and other Digital Process Automation Technologies",IF(AND(OR([1]Questionaire!H11=1,[1]Questionaire!H15=1),[1]Questionaire!H10=1),"Recommended for Assisted Robotic Process Automation (Also called Desktop Automation) with other Digital Process Automation Technologies",(IF(AND([1]Questionaire!H13=2,[1]Questionaire!H10=1),"Recommended for OCR With Assisted Robotic Process Automation (Also called Desktop Automation)",IF([1]Questionaire!H10=1,"Recommended for Assisted Robotic Process Automation (Also called Desktop Automation) or Robotic Process Automation with Artificial Intelligence",IF(AND(OR([1]Questionaire!H11=1,[1]Questionaire!H15=1),[1]Questionaire!H10&lt;&gt;1,[1]Questionaire!H13=2),"Recommended for OCR with Robotic Process Automation (Unassisted Automation) and other Digital Process Automation Technologies",IF(AND(OR([1]Questionaire!H11=1,[1]Questionaire!H15=1),[1]Questionaire!H10&lt;&gt;1),"Recommended for Robotic Process Automation (Unassisted Automation) with other Digital Process Automation Technologies",(IF(AND([1]Questionaire!H13=2,[1]Questionaire!H10&lt;&gt;1),"Recommended for OCR With Robotic Process Automation (Unassisted Automation)",IF([1]Questionaire!H10=1,"Recommended for Assisted Robotic Process Automation (Also called Desktop Automation) or Robotic Process Automation with Artificial Intelligence","Recommended for Robotic Process Automation (Unassisted Automation)"))))))))))</f>
        <v>Recommended for OCR with Robotic Process Automation (Unassisted Automation) and other Digital Process Automation Technologies</v>
      </c>
      <c r="C12" t="str">
        <f>IF(AND(OR([1]Questionaire!H11=1,[1]Questionaire!H13=1,[1]Questionaire!H15=1),[1]Questionaire!H10=1),"Recommended for Assisted Robotic Process Automation (Also called Desktop Automation) with other Digital Process Automation Technologies",(IF(AND(OR([1]Questionaire!H8=2,[1]Questionaire!H11=2),[1]Questionaire!H10=1),"Recommended for OCR With Assisted Robotic Process Automation (Also called Desktop Automation)",IF([1]Questionaire!H10=1,"Recommended for Assisted Robotic Process Automation (Also called Desktop Automation) or Robotic Process Automation with Artificial Intelligence",IF(AND(OR([1]Questionaire!H11=1,[1]Questionaire!H13=1,[1]Questionaire!H15=1),[1]Questionaire!H10&lt;&gt;1),"Recommended for Robotic Process Automation (Unassisted Automation) with other Digital Process Automation Technologies",(IF(AND(OR([1]Questionaire!H8=2,[1]Questionaire!H11=2),[1]Questionaire!H10&lt;&gt;1),"Recommended for OCR With Robotic Process Automation (Unassisted Automation)",IF([1]Questionaire!H10=1,"Recommended for Assisted Robotic Process Automation (Also called Desktop Automation) or Robotic Process Automation with Artificial Intelligence","Recommended for Robotic Process Automation (Unassisted Automation)"))))))))</f>
        <v>Recommended for Robotic Process Automation (Unassisted Automation) with other Digital Process Automation Technologies</v>
      </c>
      <c r="D12" s="19" t="str">
        <f>IF(AND(OR([1]Questionaire!H11=1,[1]Questionaire!H15=1),[1]Questionaire!H10=1),"Recommended for Assisted Robotic Process Automation (Also called Desktop Automation) with other Digital Process Automation Technologies",(IF(AND([1]Questionaire!H13=2,[1]Questionaire!H10=1),"Recommended for OCR With Assisted Robotic Process Automation (Also called Desktop Automation)",IF([1]Questionaire!H10=1,"Recommended for Assisted Robotic Process Automation (Also called Desktop Automation) or Robotic Process Automation with Artificial Intelligence",IF(AND(OR([1]Questionaire!H11=1,[1]Questionaire!H15=1),[1]Questionaire!H10&lt;&gt;1),"Recommended for Robotic Process Automation (Unassisted Automation) with other Digital Process Automation Technologies",(IF(AND([1]Questionaire!H13=2,[1]Questionaire!H10&lt;&gt;1),"Recommended for OCR With Robotic Process Automation (Unassisted Automation)",IF([1]Questionaire!H10=1,"Recommended for Assisted Robotic Process Automation (Also called Desktop Automation) or Robotic Process Automation with Artificial Intelligence","Recommended for Robotic Process Automation (Unassisted Automation)"))))))))</f>
        <v>Recommended for Robotic Process Automation (Unassisted Automation) with other Digital Process Automation Technologies</v>
      </c>
      <c r="F12" s="113" t="s">
        <v>234</v>
      </c>
      <c r="P12" t="s">
        <v>235</v>
      </c>
      <c r="T12" t="s">
        <v>236</v>
      </c>
    </row>
    <row r="13" spans="1:20" ht="33.75" customHeight="1" x14ac:dyDescent="0.3">
      <c r="A13" s="142" t="s">
        <v>237</v>
      </c>
      <c r="B13" s="143" t="str">
        <f>IF(B12="Recommended for Robotic Process Automation (Unassisted Automation)","Unassisted RPA",IF(B12="Recommended for Assisted Robotic Process Automation (Also called Desktop Automation) or Robotic Process Automation with Artificial Intelligence","Assisted RPA or Unassisted RPA with AI",IF(B12="Recommended for OCR With Robotic Process Automation (Unassisted Automation)","Unassisted RPA and OCR",IF(B12="Recommended for Robotic Process Automation (Unassisted Automation) with other Digital Process Automation Technologies","RPA and Other DPA Technologies",IF(B12="Recommended for Assisted Robotic Process Automation (Also called Desktop Automation) or Robotic Process Automation with Artificial Intelligence","Assisted RPA or Unassisted RPA with AI",IF(B12="Recommended for OCR With Assisted Robotic Process Automation (Also called Desktop Automation)","Assisted RPA with OCR",IF(B12="Recommended for Assisted Robotic Process Automation (Also called Desktop Automation) with other Digital Process Automation Technologies","Assisted RPA with Other DPA Technologies",IF(B12="Recommended for OCR with Robotic Process Automation (Unassisted Automation) and other Digital Process Automation Technologies","OCR and RPA with other DPA Technologies",IF(B12="Recommended for OCR with Assisted Robotic Process Automation (Also called Desktop Automation) and other Digital Process Automation Technologies","OCR and Assisted RPA with with other DPA Technologies","NA")))))))))</f>
        <v>OCR and RPA with other DPA Technologies</v>
      </c>
      <c r="C13" t="str">
        <f>IF(AND(OR([1]Questionaire!H11=1,[1]Questionaire!H13=1,[1]Questionaire!H15=1),[1]Questionaire!H10&lt;&gt;1),"Recommended for Robotic Process Automation (Unassisted Automation) with other Digital Process Automation Technologies",(IF(AND(OR([1]Questionaire!H8=2,[1]Questionaire!H11=2),[1]Questionaire!H10&lt;&gt;1),"Recommended for OCR With Robotic Process Automation (Unassisted Automation)",IF([1]Questionaire!H10=1,"Recommended for Assisted Robotic Process Automation (Also called Desktop Automation) or Robotic Process Automation with Artificial Intelligence","Recommended for Robotic Process Automation"))))</f>
        <v>Recommended for Robotic Process Automation (Unassisted Automation) with other Digital Process Automation Technologies</v>
      </c>
      <c r="F13" s="113" t="s">
        <v>238</v>
      </c>
      <c r="P13" t="s">
        <v>239</v>
      </c>
      <c r="T13" t="s">
        <v>240</v>
      </c>
    </row>
    <row r="14" spans="1:20" ht="18" customHeight="1" x14ac:dyDescent="0.3">
      <c r="B14" t="str">
        <f>IF([1]Questionaire!E5="No","And Also for Process Improvement by Documenting the process before Automation","")</f>
        <v>And Also for Process Improvement by Documenting the process before Automation</v>
      </c>
      <c r="F14" s="113" t="s">
        <v>241</v>
      </c>
      <c r="I14" s="19" t="s">
        <v>146</v>
      </c>
      <c r="J14" s="126" t="s">
        <v>99</v>
      </c>
      <c r="K14" s="119" t="s">
        <v>242</v>
      </c>
      <c r="T14" t="s">
        <v>243</v>
      </c>
    </row>
    <row r="15" spans="1:20" ht="11.25" customHeight="1" x14ac:dyDescent="0.3">
      <c r="B15" s="2" t="str">
        <f>IF(OR([1]Questionaire!H16=1,[1]Questionaire!H16=2,[1]Questionaire!H18=1,[1]Questionaire!H20=1,[1]Questionaire!H21=1,[1]Questionaire!H21=2,[1]Questionaire!H21=3,[1]Questionaire!H24=1,[1]Questionaire!H25=1,[1]Questionaire!H26=1,[1]Questionaire!H16=2,[1]Questionaire!H27=1,[1]Questionaire!H27=2),"Clearly assess ROI before automation for clear benefit realization","")</f>
        <v>Clearly assess ROI before automation for clear benefit realization</v>
      </c>
      <c r="F15" s="113" t="s">
        <v>244</v>
      </c>
      <c r="I15" s="19" t="s">
        <v>145</v>
      </c>
      <c r="J15" s="126" t="s">
        <v>245</v>
      </c>
      <c r="K15" s="119" t="s">
        <v>246</v>
      </c>
      <c r="T15" t="s">
        <v>247</v>
      </c>
    </row>
    <row r="16" spans="1:20" ht="21" customHeight="1" x14ac:dyDescent="0.3">
      <c r="A16" s="144" t="s">
        <v>248</v>
      </c>
      <c r="F16" s="113" t="s">
        <v>249</v>
      </c>
      <c r="I16" s="19" t="s">
        <v>149</v>
      </c>
      <c r="J16" s="126" t="s">
        <v>99</v>
      </c>
      <c r="K16" s="119" t="s">
        <v>242</v>
      </c>
      <c r="T16" t="s">
        <v>250</v>
      </c>
    </row>
    <row r="17" spans="1:20" x14ac:dyDescent="0.3">
      <c r="A17" s="145" t="s">
        <v>39</v>
      </c>
      <c r="F17" s="113" t="s">
        <v>241</v>
      </c>
      <c r="T17" t="s">
        <v>251</v>
      </c>
    </row>
    <row r="18" spans="1:20" x14ac:dyDescent="0.3">
      <c r="A18" s="146" t="s">
        <v>40</v>
      </c>
      <c r="F18" s="113" t="s">
        <v>252</v>
      </c>
      <c r="T18" t="s">
        <v>253</v>
      </c>
    </row>
    <row r="19" spans="1:20" x14ac:dyDescent="0.3">
      <c r="A19" s="147" t="s">
        <v>41</v>
      </c>
      <c r="F19" s="113" t="s">
        <v>254</v>
      </c>
      <c r="T19" t="s">
        <v>255</v>
      </c>
    </row>
    <row r="20" spans="1:20" x14ac:dyDescent="0.3">
      <c r="A20" s="148" t="s">
        <v>42</v>
      </c>
      <c r="F20" s="113" t="s">
        <v>256</v>
      </c>
      <c r="T20" t="s">
        <v>95</v>
      </c>
    </row>
    <row r="21" spans="1:20" x14ac:dyDescent="0.3">
      <c r="C21" s="149"/>
      <c r="T21" t="s">
        <v>257</v>
      </c>
    </row>
    <row r="22" spans="1:20" x14ac:dyDescent="0.3">
      <c r="C22" s="149"/>
      <c r="T22" t="s">
        <v>258</v>
      </c>
    </row>
    <row r="23" spans="1:20" x14ac:dyDescent="0.3">
      <c r="A23" t="s">
        <v>259</v>
      </c>
      <c r="B23" t="s">
        <v>260</v>
      </c>
      <c r="C23" t="s">
        <v>179</v>
      </c>
      <c r="D23" t="s">
        <v>261</v>
      </c>
      <c r="E23" t="s">
        <v>262</v>
      </c>
      <c r="F23" t="s">
        <v>263</v>
      </c>
      <c r="G23" t="s">
        <v>264</v>
      </c>
      <c r="T23" t="s">
        <v>265</v>
      </c>
    </row>
    <row r="24" spans="1:20" x14ac:dyDescent="0.3">
      <c r="A24" t="s">
        <v>76</v>
      </c>
      <c r="B24" t="s">
        <v>189</v>
      </c>
      <c r="C24" t="s">
        <v>204</v>
      </c>
      <c r="D24" t="s">
        <v>189</v>
      </c>
      <c r="E24" t="s">
        <v>204</v>
      </c>
      <c r="F24" t="s">
        <v>204</v>
      </c>
      <c r="G24" t="s">
        <v>189</v>
      </c>
      <c r="T24" s="150" t="s">
        <v>266</v>
      </c>
    </row>
    <row r="26" spans="1:20" x14ac:dyDescent="0.3">
      <c r="A26" s="113" t="s">
        <v>267</v>
      </c>
      <c r="B26" s="113" t="s">
        <v>115</v>
      </c>
      <c r="C26" s="151" t="s">
        <v>116</v>
      </c>
    </row>
    <row r="27" spans="1:20" x14ac:dyDescent="0.3">
      <c r="A27" t="s">
        <v>268</v>
      </c>
      <c r="B27">
        <f>A8/9</f>
        <v>2.3703703703703702</v>
      </c>
      <c r="C27">
        <f>D8/8</f>
        <v>2.6666666666666665</v>
      </c>
    </row>
    <row r="28" spans="1:20" x14ac:dyDescent="0.3">
      <c r="A28" s="152" t="s">
        <v>269</v>
      </c>
      <c r="B28" s="152">
        <f>A8/9</f>
        <v>2.3703703703703702</v>
      </c>
      <c r="C28" s="152">
        <f>D8/8</f>
        <v>2.6666666666666665</v>
      </c>
    </row>
    <row r="29" spans="1:20" x14ac:dyDescent="0.3">
      <c r="A29" s="153"/>
      <c r="B29" s="153" t="s">
        <v>270</v>
      </c>
      <c r="C29" s="153" t="s">
        <v>271</v>
      </c>
    </row>
    <row r="30" spans="1:20" x14ac:dyDescent="0.3">
      <c r="A30" s="153"/>
      <c r="B30" s="154" t="s">
        <v>115</v>
      </c>
      <c r="C30" s="154" t="s">
        <v>116</v>
      </c>
    </row>
    <row r="31" spans="1:20" x14ac:dyDescent="0.3">
      <c r="A31" s="153" t="s">
        <v>272</v>
      </c>
      <c r="B31" s="153">
        <v>0</v>
      </c>
      <c r="C31" s="153">
        <v>2</v>
      </c>
    </row>
    <row r="32" spans="1:20" x14ac:dyDescent="0.3">
      <c r="A32" s="153"/>
      <c r="B32" s="153">
        <v>4</v>
      </c>
      <c r="C32" s="153">
        <v>2</v>
      </c>
    </row>
    <row r="33" spans="1:4" x14ac:dyDescent="0.3">
      <c r="A33" s="153"/>
      <c r="B33" s="153"/>
      <c r="C33" s="153"/>
    </row>
    <row r="34" spans="1:4" x14ac:dyDescent="0.3">
      <c r="A34" s="153" t="s">
        <v>273</v>
      </c>
      <c r="B34" s="153">
        <v>2</v>
      </c>
      <c r="C34" s="153">
        <v>0</v>
      </c>
    </row>
    <row r="35" spans="1:4" x14ac:dyDescent="0.3">
      <c r="A35" s="153"/>
      <c r="B35" s="153">
        <v>2</v>
      </c>
      <c r="C35" s="153">
        <v>4</v>
      </c>
    </row>
    <row r="36" spans="1:4" x14ac:dyDescent="0.3">
      <c r="B36" s="153"/>
      <c r="C36" s="153"/>
    </row>
    <row r="39" spans="1:4" x14ac:dyDescent="0.3">
      <c r="C39">
        <f>B20/9</f>
        <v>0</v>
      </c>
      <c r="D39">
        <f>E20/8</f>
        <v>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20998-5B7F-4D53-97D1-BB2E49C6CA92}">
  <sheetPr codeName="Sheet10"/>
  <dimension ref="A6:J49"/>
  <sheetViews>
    <sheetView zoomScale="62" zoomScaleNormal="62" workbookViewId="0">
      <selection activeCell="A35" sqref="A35"/>
    </sheetView>
  </sheetViews>
  <sheetFormatPr defaultRowHeight="14.4" x14ac:dyDescent="0.3"/>
  <cols>
    <col min="1" max="1" width="118.5546875" customWidth="1"/>
    <col min="2" max="3" width="24.44140625" customWidth="1"/>
    <col min="4" max="5" width="28.44140625" customWidth="1"/>
    <col min="6" max="7" width="30.21875" customWidth="1"/>
    <col min="8" max="9" width="31" customWidth="1"/>
    <col min="10" max="10" width="40.77734375" customWidth="1"/>
  </cols>
  <sheetData>
    <row r="6" spans="1:3" x14ac:dyDescent="0.3">
      <c r="A6" s="113" t="s">
        <v>117</v>
      </c>
      <c r="C6" t="s">
        <v>118</v>
      </c>
    </row>
    <row r="7" spans="1:3" x14ac:dyDescent="0.3">
      <c r="A7" t="s">
        <v>119</v>
      </c>
      <c r="C7" t="s">
        <v>120</v>
      </c>
    </row>
    <row r="8" spans="1:3" x14ac:dyDescent="0.3">
      <c r="A8" t="s">
        <v>121</v>
      </c>
      <c r="C8" t="s">
        <v>122</v>
      </c>
    </row>
    <row r="9" spans="1:3" x14ac:dyDescent="0.3">
      <c r="A9" t="s">
        <v>123</v>
      </c>
      <c r="C9" t="s">
        <v>124</v>
      </c>
    </row>
    <row r="11" spans="1:3" x14ac:dyDescent="0.3">
      <c r="A11" t="s">
        <v>125</v>
      </c>
    </row>
    <row r="13" spans="1:3" x14ac:dyDescent="0.3">
      <c r="A13" t="s">
        <v>126</v>
      </c>
    </row>
    <row r="14" spans="1:3" x14ac:dyDescent="0.3">
      <c r="A14" t="s">
        <v>127</v>
      </c>
    </row>
    <row r="15" spans="1:3" x14ac:dyDescent="0.3">
      <c r="A15" t="s">
        <v>128</v>
      </c>
    </row>
    <row r="17" spans="1:1" x14ac:dyDescent="0.3">
      <c r="A17" t="s">
        <v>129</v>
      </c>
    </row>
    <row r="18" spans="1:1" x14ac:dyDescent="0.3">
      <c r="A18" t="s">
        <v>130</v>
      </c>
    </row>
    <row r="19" spans="1:1" x14ac:dyDescent="0.3">
      <c r="A19" t="s">
        <v>131</v>
      </c>
    </row>
    <row r="22" spans="1:1" x14ac:dyDescent="0.3">
      <c r="A22" s="113" t="s">
        <v>132</v>
      </c>
    </row>
    <row r="23" spans="1:1" x14ac:dyDescent="0.3">
      <c r="A23" t="s">
        <v>133</v>
      </c>
    </row>
    <row r="25" spans="1:1" x14ac:dyDescent="0.3">
      <c r="A25" t="s">
        <v>134</v>
      </c>
    </row>
    <row r="27" spans="1:1" x14ac:dyDescent="0.3">
      <c r="A27" t="s">
        <v>135</v>
      </c>
    </row>
    <row r="29" spans="1:1" x14ac:dyDescent="0.3">
      <c r="A29" t="s">
        <v>136</v>
      </c>
    </row>
    <row r="33" spans="1:10" x14ac:dyDescent="0.3">
      <c r="A33" s="113" t="s">
        <v>137</v>
      </c>
      <c r="B33" t="str">
        <f>IF(OR([1]Questionaire!H9=1,[1]Questionaire!H13=1,[1]Questionaire!H15=1),"Recommended for DPA with other technologies",(IF(OR([1]Questionaire!H9=2,[1]Questionaire!H13=2,[1]Questionaire!H15=2),"Recommended for OCR With RPA",IF([1]Questionaire!H11=1,"Recommended for Assisted RPA","Recommended for RPA"))))</f>
        <v>Recommended for DPA with other technologies</v>
      </c>
    </row>
    <row r="34" spans="1:10" s="113" customFormat="1" ht="28.8" x14ac:dyDescent="0.3">
      <c r="A34" s="66"/>
      <c r="B34" s="66" t="s">
        <v>38</v>
      </c>
      <c r="C34" s="66"/>
      <c r="D34" s="66" t="s">
        <v>39</v>
      </c>
      <c r="E34" s="66"/>
      <c r="F34" s="66" t="s">
        <v>40</v>
      </c>
      <c r="G34" s="66"/>
      <c r="H34" s="66" t="s">
        <v>41</v>
      </c>
      <c r="I34" s="66"/>
      <c r="J34" s="66" t="s">
        <v>42</v>
      </c>
    </row>
    <row r="35" spans="1:10" ht="158.4" x14ac:dyDescent="0.3">
      <c r="B35" s="114" t="s">
        <v>138</v>
      </c>
      <c r="C35" s="114"/>
      <c r="D35" s="114" t="s">
        <v>139</v>
      </c>
      <c r="E35" s="114"/>
      <c r="F35" s="73" t="s">
        <v>140</v>
      </c>
      <c r="G35" s="73"/>
      <c r="H35" s="73" t="s">
        <v>140</v>
      </c>
      <c r="I35" s="73"/>
      <c r="J35" s="73" t="s">
        <v>141</v>
      </c>
    </row>
    <row r="36" spans="1:10" ht="129.6" x14ac:dyDescent="0.3">
      <c r="B36" s="115" t="s">
        <v>142</v>
      </c>
      <c r="C36" s="115"/>
      <c r="D36" s="19"/>
      <c r="E36" s="19"/>
      <c r="F36" s="73" t="s">
        <v>143</v>
      </c>
      <c r="G36" s="73"/>
      <c r="H36" s="73" t="s">
        <v>143</v>
      </c>
      <c r="I36" s="73"/>
      <c r="J36" s="116" t="s">
        <v>85</v>
      </c>
    </row>
    <row r="37" spans="1:10" ht="201.6" x14ac:dyDescent="0.3">
      <c r="B37" s="114" t="s">
        <v>139</v>
      </c>
      <c r="C37" s="114"/>
      <c r="D37" s="19"/>
      <c r="E37" s="19"/>
      <c r="F37" s="116" t="s">
        <v>144</v>
      </c>
      <c r="G37" s="116"/>
      <c r="H37" s="116" t="s">
        <v>144</v>
      </c>
      <c r="I37" s="116"/>
      <c r="J37" s="73" t="s">
        <v>145</v>
      </c>
    </row>
    <row r="38" spans="1:10" ht="115.2" x14ac:dyDescent="0.3">
      <c r="B38" s="115" t="s">
        <v>140</v>
      </c>
      <c r="C38" s="115"/>
      <c r="D38" s="19"/>
      <c r="E38" s="19"/>
      <c r="J38" s="116" t="s">
        <v>146</v>
      </c>
    </row>
    <row r="39" spans="1:10" ht="43.2" x14ac:dyDescent="0.3">
      <c r="B39" s="114" t="s">
        <v>147</v>
      </c>
      <c r="C39" s="114"/>
      <c r="D39" s="19"/>
      <c r="E39" s="19"/>
      <c r="J39" s="116" t="s">
        <v>148</v>
      </c>
    </row>
    <row r="40" spans="1:10" ht="144" x14ac:dyDescent="0.3">
      <c r="B40" s="115" t="s">
        <v>143</v>
      </c>
      <c r="C40" s="115"/>
      <c r="D40" s="19"/>
      <c r="E40" s="19"/>
      <c r="J40" s="73" t="s">
        <v>91</v>
      </c>
    </row>
    <row r="41" spans="1:10" ht="115.2" x14ac:dyDescent="0.3">
      <c r="B41" s="114" t="s">
        <v>144</v>
      </c>
      <c r="C41" s="114"/>
      <c r="D41" s="19"/>
      <c r="E41" s="19"/>
      <c r="J41" s="117" t="s">
        <v>149</v>
      </c>
    </row>
    <row r="42" spans="1:10" ht="172.8" x14ac:dyDescent="0.3">
      <c r="B42" s="115" t="s">
        <v>141</v>
      </c>
      <c r="C42" s="115"/>
      <c r="D42" s="19"/>
      <c r="E42" s="19"/>
    </row>
    <row r="43" spans="1:10" ht="86.4" x14ac:dyDescent="0.3">
      <c r="B43" s="114" t="s">
        <v>85</v>
      </c>
      <c r="C43" s="114"/>
      <c r="D43" s="19"/>
      <c r="E43" s="19"/>
    </row>
    <row r="44" spans="1:10" ht="100.8" x14ac:dyDescent="0.3">
      <c r="B44" s="115" t="s">
        <v>145</v>
      </c>
      <c r="C44" s="115"/>
      <c r="D44" s="19"/>
      <c r="E44" s="19"/>
    </row>
    <row r="45" spans="1:10" ht="158.4" x14ac:dyDescent="0.3">
      <c r="B45" s="114" t="s">
        <v>146</v>
      </c>
      <c r="C45" s="114"/>
      <c r="D45" s="19"/>
      <c r="E45" s="19"/>
    </row>
    <row r="46" spans="1:10" ht="57.6" x14ac:dyDescent="0.3">
      <c r="B46" s="115" t="s">
        <v>150</v>
      </c>
      <c r="C46" s="115"/>
      <c r="D46" s="19"/>
      <c r="E46" s="19"/>
    </row>
    <row r="47" spans="1:10" ht="28.8" x14ac:dyDescent="0.3">
      <c r="B47" s="114" t="s">
        <v>148</v>
      </c>
      <c r="C47" s="114"/>
      <c r="D47" s="19"/>
      <c r="E47" s="19"/>
    </row>
    <row r="48" spans="1:10" ht="100.8" x14ac:dyDescent="0.3">
      <c r="B48" s="115" t="s">
        <v>91</v>
      </c>
      <c r="C48" s="115"/>
      <c r="D48" s="19"/>
      <c r="E48" s="19"/>
    </row>
    <row r="49" spans="2:5" ht="172.8" x14ac:dyDescent="0.3">
      <c r="B49" s="118" t="s">
        <v>149</v>
      </c>
      <c r="C49" s="114"/>
      <c r="D49" s="19"/>
      <c r="E49" s="19"/>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19</vt:i4>
      </vt:variant>
    </vt:vector>
  </HeadingPairs>
  <TitlesOfParts>
    <vt:vector size="25" baseType="lpstr">
      <vt:lpstr>Introduction</vt:lpstr>
      <vt:lpstr>Process Profile</vt:lpstr>
      <vt:lpstr>Questionaire</vt:lpstr>
      <vt:lpstr>Our Recommendation</vt:lpstr>
      <vt:lpstr>Configurations</vt:lpstr>
      <vt:lpstr>Parameters</vt:lpstr>
      <vt:lpstr>Citrix_Remote</vt:lpstr>
      <vt:lpstr>Common</vt:lpstr>
      <vt:lpstr>Complexity_5</vt:lpstr>
      <vt:lpstr>Complexity_6</vt:lpstr>
      <vt:lpstr>Complexity_7</vt:lpstr>
      <vt:lpstr>Complexity_8</vt:lpstr>
      <vt:lpstr>Complexity_9</vt:lpstr>
      <vt:lpstr>Effort_Planning_12</vt:lpstr>
      <vt:lpstr>Effort_Planning_13</vt:lpstr>
      <vt:lpstr>Effort_Planning_14</vt:lpstr>
      <vt:lpstr>Frequency</vt:lpstr>
      <vt:lpstr>Input_Types</vt:lpstr>
      <vt:lpstr>Process_Repetition_1</vt:lpstr>
      <vt:lpstr>Standardization_2</vt:lpstr>
      <vt:lpstr>Standardization_3</vt:lpstr>
      <vt:lpstr>Standardization_4</vt:lpstr>
      <vt:lpstr>Trend</vt:lpstr>
      <vt:lpstr>Volume</vt:lpstr>
      <vt:lpstr>Yes_No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Urvija .</dc:creator>
  <cp:lastModifiedBy>Urvija .</cp:lastModifiedBy>
  <dcterms:created xsi:type="dcterms:W3CDTF">2015-06-05T18:17:20Z</dcterms:created>
  <dcterms:modified xsi:type="dcterms:W3CDTF">2024-07-10T06:45:10Z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0819fa7-4367-4500-ba88-dd630d977609_Enabled">
    <vt:lpwstr>true</vt:lpwstr>
  </property>
  <property fmtid="{D5CDD505-2E9C-101B-9397-08002B2CF9AE}" pid="3" name="MSIP_Label_a0819fa7-4367-4500-ba88-dd630d977609_SetDate">
    <vt:lpwstr>2024-07-10T06:29:49Z</vt:lpwstr>
  </property>
  <property fmtid="{D5CDD505-2E9C-101B-9397-08002B2CF9AE}" pid="4" name="MSIP_Label_a0819fa7-4367-4500-ba88-dd630d977609_Method">
    <vt:lpwstr>Standard</vt:lpwstr>
  </property>
  <property fmtid="{D5CDD505-2E9C-101B-9397-08002B2CF9AE}" pid="5" name="MSIP_Label_a0819fa7-4367-4500-ba88-dd630d977609_Name">
    <vt:lpwstr>a0819fa7-4367-4500-ba88-dd630d977609</vt:lpwstr>
  </property>
  <property fmtid="{D5CDD505-2E9C-101B-9397-08002B2CF9AE}" pid="6" name="MSIP_Label_a0819fa7-4367-4500-ba88-dd630d977609_SiteId">
    <vt:lpwstr>63ce7d59-2f3e-42cd-a8cc-be764cff5eb6</vt:lpwstr>
  </property>
  <property fmtid="{D5CDD505-2E9C-101B-9397-08002B2CF9AE}" pid="7" name="MSIP_Label_a0819fa7-4367-4500-ba88-dd630d977609_ActionId">
    <vt:lpwstr>04800645-d335-4a09-8d8a-4ac0c5c87b1c</vt:lpwstr>
  </property>
  <property fmtid="{D5CDD505-2E9C-101B-9397-08002B2CF9AE}" pid="8" name="MSIP_Label_a0819fa7-4367-4500-ba88-dd630d977609_ContentBits">
    <vt:lpwstr>0</vt:lpwstr>
  </property>
</Properties>
</file>